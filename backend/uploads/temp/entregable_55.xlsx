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438" firstSheet="0" activeTab="3" autoFilterDateGrouping="1"/>
  </bookViews>
  <sheets>
    <sheet xmlns:r="http://schemas.openxmlformats.org/officeDocument/2006/relationships" name="Control Cambios" sheetId="1" state="visible" r:id="rId1"/>
    <sheet xmlns:r="http://schemas.openxmlformats.org/officeDocument/2006/relationships" name="Análisis 2" sheetId="2" state="hidden" r:id="rId2"/>
    <sheet xmlns:r="http://schemas.openxmlformats.org/officeDocument/2006/relationships" name="Análisis" sheetId="3" state="visible" r:id="rId3"/>
    <sheet xmlns:r="http://schemas.openxmlformats.org/officeDocument/2006/relationships" name="Casos de Prueba" sheetId="4" state="visible" r:id="rId4"/>
    <sheet xmlns:r="http://schemas.openxmlformats.org/officeDocument/2006/relationships" name="Resultados-Requerimientos" sheetId="5" state="visible" r:id="rId5"/>
  </sheets>
  <definedNames>
    <definedName name="BT175_201701141430">#REF!</definedName>
    <definedName name="BTcolgap_201701161503">#REF!</definedName>
    <definedName name="BTNIIF_201701141430">#REF!</definedName>
    <definedName name="consolidado">#REF!</definedName>
    <definedName name="INSERT_INICIAL">#REF!</definedName>
    <definedName name="RUBROREL82">#REF!</definedName>
    <definedName name="RUBROREL822">#REF!</definedName>
    <definedName name="RUBROREL823">#REF!</definedName>
    <definedName name="BT175_201701141430" localSheetId="1">#REF!</definedName>
    <definedName name="BTcolgap_201701161503" localSheetId="1">#REF!</definedName>
    <definedName name="BTNIIF_201701141430" localSheetId="1">#REF!</definedName>
    <definedName name="consolidado" localSheetId="1">#REF!</definedName>
    <definedName name="INSERT_INICIAL" localSheetId="1">#REF!</definedName>
    <definedName name="RUBROREL82" localSheetId="1">#REF!</definedName>
    <definedName name="RUBROREL822" localSheetId="1">#REF!</definedName>
    <definedName name="RUBROREL823" localSheetId="1">#REF!</definedName>
  </definedNames>
  <calcPr calcId="191028" fullCalcOnLoad="1"/>
</workbook>
</file>

<file path=xl/styles.xml><?xml version="1.0" encoding="utf-8"?>
<styleSheet xmlns="http://schemas.openxmlformats.org/spreadsheetml/2006/main">
  <numFmts count="3">
    <numFmt numFmtId="164" formatCode="_-&quot;$&quot;* #,##0.00_-;\-&quot;$&quot;* #,##0.00_-;_-&quot;$&quot;* &quot;-&quot;??_-;_-@_-"/>
    <numFmt numFmtId="165" formatCode="_ * #,##0.00_ ;_ * \-#,##0.00_ ;_ * &quot;-&quot;??_ ;_ @_ "/>
    <numFmt numFmtId="166" formatCode="_(&quot;$&quot;* #,##0.00_);_(&quot;$&quot;* \(#,##0.00\);_(&quot;$&quot;* &quot;-&quot;??_);_(@_)"/>
  </numFmts>
  <fonts count="39">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sz val="8"/>
    </font>
    <font>
      <name val="Arial"/>
      <family val="2"/>
      <color indexed="55"/>
      <sz val="10"/>
    </font>
    <font>
      <name val="Arial"/>
      <family val="2"/>
      <b val="1"/>
      <color theme="0"/>
      <sz val="10"/>
    </font>
    <font>
      <name val="Arial"/>
      <family val="2"/>
      <color theme="0"/>
      <sz val="10"/>
    </font>
    <font>
      <name val="Arial"/>
      <family val="2"/>
      <b val="1"/>
      <color theme="0"/>
      <sz val="11"/>
    </font>
    <font>
      <name val="Calibri"/>
      <family val="2"/>
      <b val="1"/>
      <color theme="0"/>
      <sz val="11"/>
      <scheme val="minor"/>
    </font>
    <font>
      <name val="Arial"/>
      <family val="2"/>
      <b val="1"/>
      <color theme="0"/>
      <sz val="12"/>
    </font>
    <font>
      <name val="Arial"/>
      <family val="2"/>
      <color theme="1"/>
      <sz val="10"/>
    </font>
    <font>
      <name val="Arial"/>
      <family val="2"/>
      <color indexed="0"/>
      <sz val="10"/>
    </font>
    <font>
      <name val="Calibri"/>
      <family val="2"/>
      <color indexed="8"/>
      <sz val="11"/>
      <scheme val="minor"/>
    </font>
    <font>
      <name val="Arial"/>
      <family val="2"/>
      <sz val="10"/>
    </font>
    <font>
      <name val="Calibri"/>
      <family val="2"/>
      <color theme="1"/>
      <sz val="10"/>
      <scheme val="minor"/>
    </font>
    <font>
      <name val="Arial"/>
      <family val="2"/>
      <color theme="0" tint="-0.0499893185216834"/>
      <sz val="10"/>
    </font>
    <font>
      <name val="Arial"/>
      <family val="2"/>
      <sz val="11"/>
    </font>
    <font>
      <name val="Arial"/>
      <family val="2"/>
      <b val="1"/>
      <i val="1"/>
      <color theme="0"/>
      <sz val="11"/>
    </font>
    <font>
      <name val="Arial"/>
      <family val="2"/>
      <i val="1"/>
      <color theme="0"/>
      <sz val="11"/>
    </font>
    <font>
      <name val="Arial"/>
      <family val="2"/>
      <color theme="1"/>
      <sz val="11"/>
    </font>
    <font>
      <name val="Arial"/>
      <family val="2"/>
      <sz val="12"/>
    </font>
    <font>
      <name val="Arial"/>
      <family val="2"/>
      <sz val="8"/>
    </font>
    <font>
      <name val="Arial"/>
      <family val="2"/>
      <color theme="1"/>
      <sz val="12"/>
    </font>
    <font>
      <name val="Arial"/>
      <family val="2"/>
      <b val="1"/>
      <color theme="4" tint="-0.249977111117893"/>
      <sz val="14"/>
    </font>
    <font>
      <name val="Arial"/>
      <family val="2"/>
      <color theme="0" tint="-0.3499862666707358"/>
      <sz val="10"/>
    </font>
    <font>
      <name val="Arial"/>
      <family val="2"/>
      <b val="1"/>
      <color theme="1"/>
      <sz val="10"/>
    </font>
  </fonts>
  <fills count="9">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0" tint="-0.1499984740745262"/>
        <bgColor indexed="64"/>
      </patternFill>
    </fill>
    <fill>
      <patternFill patternType="solid">
        <fgColor rgb="FFFFFFCC"/>
      </patternFill>
    </fill>
    <fill>
      <patternFill patternType="solid">
        <fgColor rgb="FF92D050"/>
        <bgColor indexed="64"/>
      </patternFill>
    </fill>
    <fill>
      <patternFill patternType="solid">
        <fgColor theme="5"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139">
    <xf numFmtId="0" fontId="0"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0" fontId="26" fillId="0" borderId="0"/>
    <xf numFmtId="166" fontId="26" fillId="0" borderId="0"/>
    <xf numFmtId="43" fontId="13" fillId="0" borderId="0"/>
    <xf numFmtId="0" fontId="24" fillId="0" borderId="0"/>
    <xf numFmtId="0" fontId="24" fillId="0" borderId="0"/>
    <xf numFmtId="9" fontId="26" fillId="0" borderId="0"/>
    <xf numFmtId="0" fontId="13" fillId="0" borderId="0"/>
    <xf numFmtId="43" fontId="13" fillId="0" borderId="0"/>
    <xf numFmtId="0" fontId="25" fillId="0" borderId="0"/>
    <xf numFmtId="0" fontId="13" fillId="0" borderId="0"/>
    <xf numFmtId="0" fontId="26" fillId="0" borderId="0"/>
    <xf numFmtId="9" fontId="26" fillId="0" borderId="0"/>
    <xf numFmtId="0" fontId="13" fillId="0" borderId="0"/>
    <xf numFmtId="0" fontId="26" fillId="0" borderId="0"/>
    <xf numFmtId="0" fontId="13" fillId="0" borderId="0"/>
    <xf numFmtId="0" fontId="26"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43" fontId="13" fillId="0" borderId="0"/>
    <xf numFmtId="0" fontId="13" fillId="0" borderId="0"/>
    <xf numFmtId="43" fontId="13" fillId="0" borderId="0"/>
    <xf numFmtId="0" fontId="13" fillId="0" borderId="0"/>
    <xf numFmtId="0" fontId="26" fillId="0" borderId="0"/>
    <xf numFmtId="0" fontId="13" fillId="0" borderId="0"/>
    <xf numFmtId="0" fontId="13" fillId="0" borderId="0"/>
    <xf numFmtId="165" fontId="13" fillId="0" borderId="0"/>
    <xf numFmtId="165" fontId="13" fillId="0" borderId="0"/>
    <xf numFmtId="43" fontId="27" fillId="0" borderId="0"/>
    <xf numFmtId="165" fontId="13" fillId="0" borderId="0"/>
    <xf numFmtId="165"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26" fillId="0" borderId="0"/>
    <xf numFmtId="164" fontId="2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0" fontId="13" fillId="6" borderId="31"/>
    <xf numFmtId="9" fontId="26" fillId="0" borderId="0"/>
    <xf numFmtId="9" fontId="26" fillId="0" borderId="0"/>
    <xf numFmtId="9" fontId="26" fillId="0" borderId="0"/>
    <xf numFmtId="0" fontId="13" fillId="0" borderId="0"/>
  </cellStyleXfs>
  <cellXfs count="183">
    <xf numFmtId="0" fontId="0" fillId="0" borderId="0" pivotButton="0" quotePrefix="0" xfId="0"/>
    <xf numFmtId="9" fontId="18" fillId="2" borderId="26" applyAlignment="1" pivotButton="0" quotePrefix="0" xfId="26">
      <alignment horizontal="center"/>
    </xf>
    <xf numFmtId="0" fontId="23" fillId="0" borderId="22" applyAlignment="1" applyProtection="1" pivotButton="0" quotePrefix="0" xfId="26">
      <alignment horizontal="left"/>
      <protection locked="0" hidden="0"/>
    </xf>
    <xf numFmtId="0" fontId="23" fillId="0" borderId="2" applyAlignment="1" applyProtection="1" pivotButton="0" quotePrefix="0" xfId="26">
      <alignment horizontal="center"/>
      <protection locked="0" hidden="0"/>
    </xf>
    <xf numFmtId="0" fontId="23" fillId="0" borderId="1" applyAlignment="1" applyProtection="1" pivotButton="0" quotePrefix="0" xfId="26">
      <alignment horizontal="center"/>
      <protection locked="0" hidden="0"/>
    </xf>
    <xf numFmtId="9" fontId="23" fillId="0" borderId="2" applyAlignment="1" pivotButton="0" quotePrefix="0" xfId="26">
      <alignment horizontal="center"/>
    </xf>
    <xf numFmtId="9" fontId="23" fillId="0" borderId="2" applyAlignment="1" pivotButton="0" quotePrefix="0" xfId="26">
      <alignment horizontal="center"/>
    </xf>
    <xf numFmtId="0" fontId="23" fillId="0" borderId="0" pivotButton="0" quotePrefix="0" xfId="0"/>
    <xf numFmtId="0" fontId="3" fillId="0" borderId="0" pivotButton="0" quotePrefix="0" xfId="51"/>
    <xf numFmtId="0" fontId="18" fillId="2" borderId="18" applyAlignment="1" pivotButton="0" quotePrefix="0" xfId="49">
      <alignment horizontal="center" vertical="center" wrapText="1"/>
    </xf>
    <xf numFmtId="0" fontId="23" fillId="0" borderId="1" applyAlignment="1" pivotButton="0" quotePrefix="0" xfId="26">
      <alignment horizontal="center"/>
    </xf>
    <xf numFmtId="0" fontId="23" fillId="0" borderId="2" applyAlignment="1" applyProtection="1" pivotButton="0" quotePrefix="0" xfId="49">
      <alignment horizontal="center"/>
      <protection locked="0" hidden="0"/>
    </xf>
    <xf numFmtId="0" fontId="23" fillId="0" borderId="1" applyAlignment="1" applyProtection="1" pivotButton="0" quotePrefix="0" xfId="49">
      <alignment horizontal="center"/>
      <protection locked="0" hidden="0"/>
    </xf>
    <xf numFmtId="0" fontId="23" fillId="0" borderId="24" pivotButton="0" quotePrefix="0" xfId="49"/>
    <xf numFmtId="0" fontId="20" fillId="2" borderId="25" pivotButton="0" quotePrefix="0" xfId="49"/>
    <xf numFmtId="0" fontId="18" fillId="2" borderId="26" applyAlignment="1" pivotButton="0" quotePrefix="0" xfId="49">
      <alignment horizontal="center"/>
    </xf>
    <xf numFmtId="0" fontId="28" fillId="0" borderId="0" pivotButton="0" quotePrefix="0" xfId="0"/>
    <xf numFmtId="0" fontId="23" fillId="0" borderId="2" applyAlignment="1" pivotButton="0" quotePrefix="0" xfId="26">
      <alignment horizontal="center"/>
    </xf>
    <xf numFmtId="9" fontId="23" fillId="0" borderId="14" applyAlignment="1" pivotButton="0" quotePrefix="0" xfId="26">
      <alignment horizontal="center"/>
    </xf>
    <xf numFmtId="9" fontId="18" fillId="2" borderId="28" applyAlignment="1" pivotButton="0" quotePrefix="0" xfId="26">
      <alignment horizontal="center"/>
    </xf>
    <xf numFmtId="0" fontId="18" fillId="2" borderId="25" applyAlignment="1" pivotButton="0" quotePrefix="0" xfId="49">
      <alignment horizontal="center"/>
    </xf>
    <xf numFmtId="0" fontId="23" fillId="0" borderId="29" applyAlignment="1" applyProtection="1" pivotButton="0" quotePrefix="0" xfId="26">
      <alignment horizontal="center"/>
      <protection locked="0" hidden="0"/>
    </xf>
    <xf numFmtId="0" fontId="23" fillId="0" borderId="22" applyAlignment="1" pivotButton="0" quotePrefix="0" xfId="26">
      <alignment horizontal="left"/>
    </xf>
    <xf numFmtId="0" fontId="23" fillId="0" borderId="2" applyAlignment="1" pivotButton="0" quotePrefix="0" xfId="49">
      <alignment horizontal="center"/>
    </xf>
    <xf numFmtId="0" fontId="23" fillId="0" borderId="23" pivotButton="0" quotePrefix="0" xfId="49"/>
    <xf numFmtId="0" fontId="18" fillId="2" borderId="27" pivotButton="0" quotePrefix="0" xfId="49"/>
    <xf numFmtId="9" fontId="23" fillId="0" borderId="2" applyAlignment="1" applyProtection="1" pivotButton="0" quotePrefix="0" xfId="26">
      <alignment horizontal="center"/>
      <protection locked="0" hidden="0"/>
    </xf>
    <xf numFmtId="9" fontId="23" fillId="0" borderId="14" applyAlignment="1" applyProtection="1" pivotButton="0" quotePrefix="0" xfId="26">
      <alignment horizontal="center"/>
      <protection locked="0" hidden="0"/>
    </xf>
    <xf numFmtId="0" fontId="23" fillId="0" borderId="23" applyProtection="1" pivotButton="0" quotePrefix="0" xfId="49">
      <protection locked="0" hidden="0"/>
    </xf>
    <xf numFmtId="0" fontId="23" fillId="0" borderId="0" applyProtection="1" pivotButton="0" quotePrefix="0" xfId="0">
      <protection locked="0" hidden="0"/>
    </xf>
    <xf numFmtId="0" fontId="0" fillId="3" borderId="0" pivotButton="0" quotePrefix="0" xfId="0"/>
    <xf numFmtId="0" fontId="14" fillId="3" borderId="6" pivotButton="0" quotePrefix="0" xfId="49"/>
    <xf numFmtId="0" fontId="14" fillId="3" borderId="0" pivotButton="0" quotePrefix="0" xfId="49"/>
    <xf numFmtId="0" fontId="14" fillId="3" borderId="3" pivotButton="0" quotePrefix="0" xfId="49"/>
    <xf numFmtId="0" fontId="14" fillId="3" borderId="4" pivotButton="0" quotePrefix="0" xfId="49"/>
    <xf numFmtId="0" fontId="17" fillId="3" borderId="0" applyAlignment="1" pivotButton="0" quotePrefix="0" xfId="49">
      <alignment horizontal="center"/>
    </xf>
    <xf numFmtId="0" fontId="14" fillId="3" borderId="5" pivotButton="0" quotePrefix="0" xfId="49"/>
    <xf numFmtId="0" fontId="14" fillId="3" borderId="7" pivotButton="0" quotePrefix="0" xfId="49"/>
    <xf numFmtId="0" fontId="23" fillId="3" borderId="0" applyProtection="1" pivotButton="0" quotePrefix="0" xfId="0">
      <protection locked="0" hidden="0"/>
    </xf>
    <xf numFmtId="0" fontId="23" fillId="3" borderId="0" pivotButton="0" quotePrefix="0" xfId="0"/>
    <xf numFmtId="10" fontId="0" fillId="3" borderId="0" pivotButton="0" quotePrefix="0" xfId="0"/>
    <xf numFmtId="0" fontId="15" fillId="5" borderId="5" pivotButton="0" quotePrefix="0" xfId="49"/>
    <xf numFmtId="0" fontId="17" fillId="5" borderId="6" applyAlignment="1" pivotButton="0" quotePrefix="0" xfId="49">
      <alignment horizontal="center"/>
    </xf>
    <xf numFmtId="0" fontId="14" fillId="5" borderId="6" pivotButton="0" quotePrefix="0" xfId="49"/>
    <xf numFmtId="0" fontId="14" fillId="5" borderId="0" pivotButton="0" quotePrefix="0" xfId="49"/>
    <xf numFmtId="0" fontId="14" fillId="5" borderId="3" pivotButton="0" quotePrefix="0" xfId="49"/>
    <xf numFmtId="0" fontId="29" fillId="0" borderId="33" applyAlignment="1" pivotButton="0" quotePrefix="0" xfId="138">
      <alignment horizontal="left"/>
    </xf>
    <xf numFmtId="0" fontId="31" fillId="4" borderId="32" pivotButton="0" quotePrefix="0" xfId="0"/>
    <xf numFmtId="0" fontId="30" fillId="4" borderId="35" applyAlignment="1" pivotButton="0" quotePrefix="0" xfId="0">
      <alignment wrapText="1"/>
    </xf>
    <xf numFmtId="0" fontId="20" fillId="4" borderId="8" pivotButton="0" quotePrefix="0" xfId="0"/>
    <xf numFmtId="0" fontId="20" fillId="4" borderId="1" applyAlignment="1" pivotButton="0" quotePrefix="0" xfId="0">
      <alignment horizontal="center" vertical="center"/>
    </xf>
    <xf numFmtId="0" fontId="20" fillId="4" borderId="0" applyAlignment="1" pivotButton="0" quotePrefix="0" xfId="0">
      <alignment horizontal="center" vertical="center" wrapText="1"/>
    </xf>
    <xf numFmtId="49" fontId="29" fillId="0" borderId="34" applyAlignment="1" pivotButton="0" quotePrefix="0" xfId="28">
      <alignment wrapText="1"/>
    </xf>
    <xf numFmtId="49" fontId="29" fillId="0" borderId="0" applyAlignment="1" pivotButton="0" quotePrefix="0" xfId="28">
      <alignment wrapText="1"/>
    </xf>
    <xf numFmtId="0" fontId="31" fillId="4" borderId="30" pivotButton="0" quotePrefix="0" xfId="0"/>
    <xf numFmtId="9" fontId="32" fillId="7" borderId="1" applyAlignment="1" pivotButton="0" quotePrefix="0" xfId="138">
      <alignment horizontal="left" vertical="center" wrapText="1"/>
    </xf>
    <xf numFmtId="0" fontId="33" fillId="0" borderId="1" applyAlignment="1" pivotButton="0" quotePrefix="0" xfId="138">
      <alignment horizontal="center" vertical="center"/>
    </xf>
    <xf numFmtId="0" fontId="33" fillId="3" borderId="0" applyAlignment="1" pivotButton="0" quotePrefix="0" xfId="138">
      <alignment horizontal="center" vertical="center"/>
    </xf>
    <xf numFmtId="0" fontId="33" fillId="0" borderId="1" applyAlignment="1" pivotButton="0" quotePrefix="0" xfId="0">
      <alignment horizontal="center" vertical="center"/>
    </xf>
    <xf numFmtId="0" fontId="33" fillId="0" borderId="17" applyAlignment="1" pivotButton="0" quotePrefix="0" xfId="0">
      <alignment horizontal="center" vertical="center"/>
    </xf>
    <xf numFmtId="14" fontId="14" fillId="3" borderId="1" applyAlignment="1" pivotButton="0" quotePrefix="0" xfId="1">
      <alignment horizontal="center" vertical="center"/>
    </xf>
    <xf numFmtId="49" fontId="29" fillId="0" borderId="33" applyAlignment="1" pivotButton="0" quotePrefix="0" xfId="28">
      <alignment wrapText="1"/>
    </xf>
    <xf numFmtId="0" fontId="33" fillId="0" borderId="0" applyAlignment="1" pivotButton="0" quotePrefix="0" xfId="138">
      <alignment horizontal="center" vertical="center"/>
    </xf>
    <xf numFmtId="9" fontId="32" fillId="8" borderId="1" applyAlignment="1" pivotButton="0" quotePrefix="0" xfId="138">
      <alignment horizontal="left" vertical="center" wrapText="1"/>
    </xf>
    <xf numFmtId="0" fontId="29" fillId="0" borderId="0" applyAlignment="1" pivotButton="0" quotePrefix="0" xfId="138">
      <alignment horizontal="left"/>
    </xf>
    <xf numFmtId="9" fontId="32" fillId="7" borderId="17" applyAlignment="1" pivotButton="0" quotePrefix="0" xfId="138">
      <alignment horizontal="left" vertical="center" wrapText="1"/>
    </xf>
    <xf numFmtId="9" fontId="32" fillId="8" borderId="17" applyAlignment="1" pivotButton="0" quotePrefix="0" xfId="138">
      <alignment horizontal="left" vertical="center" wrapText="1"/>
    </xf>
    <xf numFmtId="0" fontId="33" fillId="0" borderId="17" applyAlignment="1" pivotButton="0" quotePrefix="0" xfId="138">
      <alignment horizontal="center" vertical="center"/>
    </xf>
    <xf numFmtId="0" fontId="33" fillId="7" borderId="17" applyAlignment="1" pivotButton="0" quotePrefix="0" xfId="0">
      <alignment horizontal="center" vertical="center"/>
    </xf>
    <xf numFmtId="9" fontId="35" fillId="8" borderId="17" applyAlignment="1" pivotButton="0" quotePrefix="0" xfId="138">
      <alignment horizontal="center" vertical="top" wrapText="1"/>
    </xf>
    <xf numFmtId="9" fontId="35" fillId="8" borderId="17" applyAlignment="1" pivotButton="0" quotePrefix="0" xfId="138">
      <alignment horizontal="center" vertical="center" wrapText="1"/>
    </xf>
    <xf numFmtId="0" fontId="0" fillId="3" borderId="0" applyAlignment="1" pivotButton="0" quotePrefix="0" xfId="0">
      <alignment horizontal="center"/>
    </xf>
    <xf numFmtId="0" fontId="14" fillId="3" borderId="0" applyAlignment="1" pivotButton="0" quotePrefix="0" xfId="0">
      <alignment vertical="top"/>
    </xf>
    <xf numFmtId="0" fontId="0" fillId="3" borderId="0"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center" wrapText="1"/>
    </xf>
    <xf numFmtId="0" fontId="18" fillId="2" borderId="1" applyAlignment="1" pivotButton="0" quotePrefix="0" xfId="0">
      <alignment horizontal="center" vertical="center" wrapText="1"/>
    </xf>
    <xf numFmtId="0" fontId="18" fillId="4" borderId="41" applyAlignment="1" pivotButton="0" quotePrefix="0" xfId="0">
      <alignment horizontal="center" vertical="center" wrapText="1"/>
    </xf>
    <xf numFmtId="14" fontId="14" fillId="0" borderId="1" applyAlignment="1" pivotButton="0" quotePrefix="0" xfId="1">
      <alignment horizontal="center" vertical="center"/>
    </xf>
    <xf numFmtId="0" fontId="14" fillId="0" borderId="1" applyAlignment="1" pivotButton="0" quotePrefix="0" xfId="1">
      <alignment horizontal="center" vertical="center"/>
    </xf>
    <xf numFmtId="0" fontId="21" fillId="2" borderId="1" applyAlignment="1" pivotButton="0" quotePrefix="0" xfId="1">
      <alignment horizontal="center"/>
    </xf>
    <xf numFmtId="49" fontId="14" fillId="0" borderId="1" applyAlignment="1" pivotButton="0" quotePrefix="0" xfId="1">
      <alignment horizontal="center" vertical="center"/>
    </xf>
    <xf numFmtId="49" fontId="16" fillId="0" borderId="1" applyAlignment="1" pivotButton="0" quotePrefix="0" xfId="1">
      <alignment horizontal="center" vertical="center"/>
    </xf>
    <xf numFmtId="0" fontId="0"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7" applyAlignment="1" pivotButton="0" quotePrefix="0" xfId="0">
      <alignment vertical="center" wrapText="1"/>
    </xf>
    <xf numFmtId="0" fontId="0" fillId="0" borderId="0" applyAlignment="1" pivotButton="0" quotePrefix="0" xfId="0">
      <alignment vertical="center"/>
    </xf>
    <xf numFmtId="0" fontId="22" fillId="4" borderId="1" applyAlignment="1" pivotButton="0" quotePrefix="0" xfId="0">
      <alignment horizontal="center" vertical="center" wrapText="1"/>
    </xf>
    <xf numFmtId="0" fontId="14" fillId="5" borderId="1" applyAlignment="1" pivotButton="0" quotePrefix="0" xfId="0">
      <alignment vertical="center" wrapText="1"/>
    </xf>
    <xf numFmtId="0" fontId="14" fillId="7" borderId="1" applyAlignment="1" pivotButton="0" quotePrefix="0" xfId="0">
      <alignment vertical="center" wrapText="1"/>
    </xf>
    <xf numFmtId="0" fontId="14" fillId="7" borderId="1" applyAlignment="1" pivotButton="0" quotePrefix="0" xfId="0">
      <alignment horizontal="center" vertical="center" wrapText="1"/>
    </xf>
    <xf numFmtId="0" fontId="38" fillId="0" borderId="16"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8" fillId="2" borderId="43" applyAlignment="1" pivotButton="0" quotePrefix="0" xfId="0">
      <alignment horizontal="center" vertical="center" wrapText="1"/>
    </xf>
    <xf numFmtId="0" fontId="18" fillId="2" borderId="44" applyAlignment="1" pivotButton="0" quotePrefix="0" xfId="0">
      <alignment horizontal="center" vertical="center" wrapText="1"/>
    </xf>
    <xf numFmtId="0" fontId="18" fillId="2" borderId="42" applyAlignment="1" pivotButton="0" quotePrefix="0" xfId="0">
      <alignment horizontal="center" vertical="center" wrapText="1"/>
    </xf>
    <xf numFmtId="0" fontId="0" fillId="0" borderId="0" applyAlignment="1" pivotButton="0" quotePrefix="0" xfId="0">
      <alignment horizontal="center" wrapText="1"/>
    </xf>
    <xf numFmtId="0" fontId="14" fillId="0" borderId="1" applyAlignment="1" pivotButton="0" quotePrefix="0" xfId="1">
      <alignment vertical="center" wrapText="1"/>
    </xf>
    <xf numFmtId="0" fontId="37" fillId="0" borderId="1" applyAlignment="1" pivotButton="0" quotePrefix="0" xfId="1">
      <alignment vertical="center" wrapText="1"/>
    </xf>
    <xf numFmtId="0" fontId="22" fillId="2" borderId="12" applyAlignment="1" pivotButton="0" quotePrefix="0" xfId="1">
      <alignment horizontal="center" vertical="center"/>
    </xf>
    <xf numFmtId="0" fontId="22" fillId="2" borderId="13" applyAlignment="1" pivotButton="0" quotePrefix="0" xfId="1">
      <alignment horizontal="center" vertical="center"/>
    </xf>
    <xf numFmtId="0" fontId="22" fillId="2" borderId="10" applyAlignment="1" pivotButton="0" quotePrefix="0" xfId="1">
      <alignment horizontal="center" vertical="center"/>
    </xf>
    <xf numFmtId="0" fontId="22" fillId="2" borderId="4" applyAlignment="1" pivotButton="0" quotePrefix="0" xfId="1">
      <alignment horizontal="center" vertical="center"/>
    </xf>
    <xf numFmtId="0" fontId="22" fillId="2" borderId="0" applyAlignment="1" pivotButton="0" quotePrefix="0" xfId="1">
      <alignment horizontal="center" vertical="center"/>
    </xf>
    <xf numFmtId="0" fontId="22" fillId="2" borderId="3" applyAlignment="1" pivotButton="0" quotePrefix="0" xfId="1">
      <alignment horizontal="center" vertical="center"/>
    </xf>
    <xf numFmtId="0" fontId="21" fillId="2" borderId="1" applyAlignment="1" pivotButton="0" quotePrefix="0" xfId="1">
      <alignment horizontal="center"/>
    </xf>
    <xf numFmtId="14" fontId="14" fillId="3" borderId="1" applyAlignment="1" pivotButton="0" quotePrefix="0" xfId="1">
      <alignment vertical="center" wrapText="1"/>
    </xf>
    <xf numFmtId="0" fontId="14" fillId="3" borderId="1" applyAlignment="1" pivotButton="0" quotePrefix="0" xfId="1">
      <alignment vertical="center" wrapText="1"/>
    </xf>
    <xf numFmtId="0" fontId="14" fillId="0" borderId="1" applyAlignment="1" pivotButton="0" quotePrefix="0" xfId="1">
      <alignment vertical="center"/>
    </xf>
    <xf numFmtId="0" fontId="36" fillId="0" borderId="36" applyAlignment="1" pivotButton="0" quotePrefix="0" xfId="0">
      <alignment horizontal="center" vertical="center"/>
    </xf>
    <xf numFmtId="0" fontId="36" fillId="0" borderId="37" applyAlignment="1" pivotButton="0" quotePrefix="0" xfId="0">
      <alignment horizontal="center" vertical="center"/>
    </xf>
    <xf numFmtId="0" fontId="36" fillId="0" borderId="38" applyAlignment="1" pivotButton="0" quotePrefix="0" xfId="0">
      <alignment horizontal="center" vertical="center"/>
    </xf>
    <xf numFmtId="0" fontId="36" fillId="0" borderId="33" applyAlignment="1" pivotButton="0" quotePrefix="0" xfId="0">
      <alignment horizontal="center" vertical="center"/>
    </xf>
    <xf numFmtId="0" fontId="36" fillId="0" borderId="0" applyAlignment="1" pivotButton="0" quotePrefix="0" xfId="0">
      <alignment horizontal="center" vertical="center"/>
    </xf>
    <xf numFmtId="0" fontId="36" fillId="0" borderId="35" applyAlignment="1" pivotButton="0" quotePrefix="0" xfId="0">
      <alignment horizontal="center" vertical="center"/>
    </xf>
    <xf numFmtId="0" fontId="36" fillId="0" borderId="14" applyAlignment="1" pivotButton="0" quotePrefix="0" xfId="0">
      <alignment horizontal="center" vertical="center"/>
    </xf>
    <xf numFmtId="0" fontId="36" fillId="0" borderId="39" applyAlignment="1" pivotButton="0" quotePrefix="0" xfId="0">
      <alignment horizontal="center" vertical="center"/>
    </xf>
    <xf numFmtId="0" fontId="36" fillId="0" borderId="40" applyAlignment="1" pivotButton="0" quotePrefix="0" xfId="0">
      <alignment horizontal="center" vertical="center"/>
    </xf>
    <xf numFmtId="0" fontId="18" fillId="2" borderId="36" applyAlignment="1" pivotButton="0" quotePrefix="0" xfId="0">
      <alignment horizontal="center" vertical="center" wrapText="1"/>
    </xf>
    <xf numFmtId="0" fontId="18" fillId="2" borderId="37"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39" applyAlignment="1" pivotButton="0" quotePrefix="0" xfId="0">
      <alignment horizontal="center" vertical="center" wrapText="1"/>
    </xf>
    <xf numFmtId="14" fontId="38" fillId="0" borderId="16" applyAlignment="1" pivotButton="0" quotePrefix="0" xfId="0">
      <alignment horizontal="left" vertical="center" wrapText="1"/>
    </xf>
    <xf numFmtId="0" fontId="38" fillId="0" borderId="17" applyAlignment="1" pivotButton="0" quotePrefix="0" xfId="0">
      <alignment horizontal="left" vertical="center" wrapText="1"/>
    </xf>
    <xf numFmtId="0" fontId="38" fillId="0" borderId="41" applyAlignment="1" pivotButton="0" quotePrefix="0" xfId="0">
      <alignment horizontal="left" vertical="center" wrapText="1"/>
    </xf>
    <xf numFmtId="0" fontId="18" fillId="2" borderId="12" applyAlignment="1" pivotButton="0" quotePrefix="0" xfId="49">
      <alignment horizontal="center" vertical="center"/>
    </xf>
    <xf numFmtId="0" fontId="18" fillId="2" borderId="13" applyAlignment="1" pivotButton="0" quotePrefix="0" xfId="49">
      <alignment horizontal="center" vertical="center"/>
    </xf>
    <xf numFmtId="0" fontId="18" fillId="2" borderId="10" applyAlignment="1" pivotButton="0" quotePrefix="0" xfId="49">
      <alignment horizontal="center" vertical="center"/>
    </xf>
    <xf numFmtId="0" fontId="18" fillId="2" borderId="4" applyAlignment="1" pivotButton="0" quotePrefix="0" xfId="49">
      <alignment horizontal="center" vertical="center"/>
    </xf>
    <xf numFmtId="0" fontId="18" fillId="2" borderId="0" applyAlignment="1" pivotButton="0" quotePrefix="0" xfId="49">
      <alignment horizontal="center" vertical="center"/>
    </xf>
    <xf numFmtId="0" fontId="18" fillId="2" borderId="3" applyAlignment="1" pivotButton="0" quotePrefix="0" xfId="49">
      <alignment horizontal="center" vertical="center"/>
    </xf>
    <xf numFmtId="0" fontId="18" fillId="2" borderId="5" applyAlignment="1" pivotButton="0" quotePrefix="0" xfId="49">
      <alignment horizontal="center" vertical="center"/>
    </xf>
    <xf numFmtId="0" fontId="18" fillId="2" borderId="6" applyAlignment="1" pivotButton="0" quotePrefix="0" xfId="49">
      <alignment horizontal="center" vertical="center"/>
    </xf>
    <xf numFmtId="0" fontId="18" fillId="2" borderId="7" applyAlignment="1" pivotButton="0" quotePrefix="0" xfId="49">
      <alignment horizontal="center" vertical="center"/>
    </xf>
    <xf numFmtId="0" fontId="18" fillId="2" borderId="11" applyAlignment="1" pivotButton="0" quotePrefix="0" xfId="49">
      <alignment horizontal="center" vertical="center" wrapText="1"/>
    </xf>
    <xf numFmtId="0" fontId="18" fillId="2" borderId="19" applyAlignment="1" pivotButton="0" quotePrefix="0" xfId="49">
      <alignment horizontal="center" vertical="center" wrapText="1"/>
    </xf>
    <xf numFmtId="0" fontId="19" fillId="2" borderId="5" applyAlignment="1" pivotButton="0" quotePrefix="0" xfId="49">
      <alignment horizontal="center" vertical="center" wrapText="1"/>
    </xf>
    <xf numFmtId="0" fontId="18" fillId="2" borderId="8" applyAlignment="1" pivotButton="0" quotePrefix="0" xfId="49">
      <alignment horizontal="center" vertical="center" wrapText="1"/>
    </xf>
    <xf numFmtId="0" fontId="18" fillId="2" borderId="15" applyAlignment="1" pivotButton="0" quotePrefix="0" xfId="49">
      <alignment horizontal="center" vertical="center" wrapText="1"/>
    </xf>
    <xf numFmtId="0" fontId="18" fillId="2" borderId="9" applyAlignment="1" pivotButton="0" quotePrefix="0" xfId="49">
      <alignment horizontal="center" vertical="center" wrapText="1"/>
    </xf>
    <xf numFmtId="0" fontId="18" fillId="2" borderId="7" applyAlignment="1" pivotButton="0" quotePrefix="0" xfId="49">
      <alignment horizontal="center" vertical="center" wrapText="1"/>
    </xf>
    <xf numFmtId="0" fontId="18" fillId="2" borderId="12" applyAlignment="1" pivotButton="0" quotePrefix="0" xfId="49">
      <alignment horizontal="center"/>
    </xf>
    <xf numFmtId="0" fontId="19" fillId="2" borderId="13" applyAlignment="1" pivotButton="0" quotePrefix="0" xfId="49">
      <alignment horizontal="center"/>
    </xf>
    <xf numFmtId="0" fontId="19" fillId="2" borderId="10" applyAlignment="1" pivotButton="0" quotePrefix="0" xfId="49">
      <alignment horizontal="center"/>
    </xf>
    <xf numFmtId="0" fontId="18" fillId="2" borderId="8" applyAlignment="1" pivotButton="0" quotePrefix="0" xfId="49">
      <alignment horizontal="center"/>
    </xf>
    <xf numFmtId="0" fontId="18" fillId="2" borderId="20" applyAlignment="1" pivotButton="0" quotePrefix="0" xfId="49">
      <alignment horizontal="center"/>
    </xf>
    <xf numFmtId="0" fontId="18" fillId="2" borderId="21" applyAlignment="1" pivotButton="0" quotePrefix="0" xfId="49">
      <alignment horizontal="center"/>
    </xf>
    <xf numFmtId="0" fontId="18" fillId="2" borderId="15" applyAlignment="1" pivotButton="0" quotePrefix="0" xfId="49">
      <alignment horizontal="center"/>
    </xf>
    <xf numFmtId="0" fontId="18" fillId="2" borderId="9" applyAlignment="1" pivotButton="0" quotePrefix="0" xfId="49">
      <alignment horizontal="center"/>
    </xf>
    <xf numFmtId="0" fontId="22" fillId="2" borderId="11" applyAlignment="1" pivotButton="0" quotePrefix="0" xfId="1">
      <alignment horizontal="center" vertical="center"/>
    </xf>
    <xf numFmtId="0" fontId="0" fillId="0" borderId="13" pivotButton="0" quotePrefix="0" xfId="0"/>
    <xf numFmtId="0" fontId="0" fillId="0" borderId="10" pivotButton="0" quotePrefix="0" xfId="0"/>
    <xf numFmtId="0" fontId="0" fillId="0" borderId="4" pivotButton="0" quotePrefix="0" xfId="0"/>
    <xf numFmtId="0" fontId="0" fillId="0" borderId="3" pivotButton="0" quotePrefix="0" xfId="0"/>
    <xf numFmtId="0" fontId="0" fillId="0" borderId="17" pivotButton="0" quotePrefix="0" xfId="0"/>
    <xf numFmtId="0" fontId="36" fillId="0" borderId="1" applyAlignment="1" pivotButton="0" quotePrefix="0" xfId="0">
      <alignment horizontal="center" vertical="center"/>
    </xf>
    <xf numFmtId="0" fontId="0" fillId="0" borderId="37" pivotButton="0" quotePrefix="0" xfId="0"/>
    <xf numFmtId="0" fontId="0" fillId="0" borderId="38" pivotButton="0" quotePrefix="0" xfId="0"/>
    <xf numFmtId="0" fontId="0" fillId="0" borderId="33" pivotButton="0" quotePrefix="0" xfId="0"/>
    <xf numFmtId="0" fontId="0" fillId="0" borderId="35" pivotButton="0" quotePrefix="0" xfId="0"/>
    <xf numFmtId="0" fontId="0" fillId="0" borderId="14" pivotButton="0" quotePrefix="0" xfId="0"/>
    <xf numFmtId="0" fontId="0" fillId="0" borderId="39" pivotButton="0" quotePrefix="0" xfId="0"/>
    <xf numFmtId="0" fontId="0" fillId="0" borderId="40" pivotButton="0" quotePrefix="0" xfId="0"/>
    <xf numFmtId="0" fontId="0" fillId="0" borderId="41" pivotButton="0" quotePrefix="0" xfId="0"/>
    <xf numFmtId="14" fontId="38" fillId="0" borderId="1" applyAlignment="1" pivotButton="0" quotePrefix="0" xfId="0">
      <alignment horizontal="left" vertical="center" wrapText="1"/>
    </xf>
    <xf numFmtId="0" fontId="15" fillId="0" borderId="1" applyAlignment="1" pivotButton="0" quotePrefix="0" xfId="0">
      <alignment vertical="top" wrapText="1"/>
    </xf>
    <xf numFmtId="0" fontId="14" fillId="0" borderId="1" applyAlignment="1" pivotButton="0" quotePrefix="0" xfId="0">
      <alignment vertical="top" wrapText="1"/>
    </xf>
    <xf numFmtId="0" fontId="14" fillId="0" borderId="17" applyAlignment="1" pivotButton="0" quotePrefix="0" xfId="0">
      <alignment vertical="top" wrapText="1"/>
    </xf>
    <xf numFmtId="0" fontId="0" fillId="0" borderId="0" applyAlignment="1" pivotButton="0" quotePrefix="0" xfId="0">
      <alignment vertical="top" wrapText="1"/>
    </xf>
    <xf numFmtId="0" fontId="18" fillId="2" borderId="18" applyAlignment="1" pivotButton="0" quotePrefix="0" xfId="49">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9" pivotButton="0" quotePrefix="0" xfId="0"/>
    <xf numFmtId="0" fontId="18" fillId="2" borderId="11" applyAlignment="1" pivotButton="0" quotePrefix="0" xfId="49">
      <alignment horizontal="center"/>
    </xf>
    <xf numFmtId="0" fontId="0" fillId="0" borderId="19" pivotButton="0" quotePrefix="0" xfId="0"/>
    <xf numFmtId="0" fontId="18" fillId="2" borderId="47" applyAlignment="1" pivotButton="0" quotePrefix="0" xfId="49">
      <alignment horizontal="center"/>
    </xf>
    <xf numFmtId="0" fontId="0" fillId="0" borderId="20" pivotButton="0" quotePrefix="0" xfId="0"/>
    <xf numFmtId="0" fontId="18" fillId="2" borderId="18" applyAlignment="1" pivotButton="0" quotePrefix="0" xfId="49">
      <alignment horizontal="center"/>
    </xf>
    <xf numFmtId="0" fontId="18" fillId="2" borderId="45" applyAlignment="1" pivotButton="0" quotePrefix="0" xfId="49">
      <alignment horizontal="center"/>
    </xf>
  </cellXfs>
  <cellStyles count="139">
    <cellStyle name="Normal" xfId="0" builtinId="0"/>
    <cellStyle name="Normal 2 3" xfId="1"/>
    <cellStyle name="Normal 2" xfId="2"/>
    <cellStyle name="Porcentaje 2" xfId="3"/>
    <cellStyle name="Moneda 2" xfId="4"/>
    <cellStyle name="Millares 2" xfId="5"/>
    <cellStyle name="Normal 3" xfId="6"/>
    <cellStyle name="Porcentaje 3" xfId="7"/>
    <cellStyle name="Moneda 3" xfId="8"/>
    <cellStyle name="Millares 3" xfId="9"/>
    <cellStyle name="Normal 4" xfId="10"/>
    <cellStyle name="Normal 5" xfId="11"/>
    <cellStyle name="Normal 2 2" xfId="12"/>
    <cellStyle name="Normal 4 2" xfId="13"/>
    <cellStyle name="Normal 5 2" xfId="14"/>
    <cellStyle name="Comma [0]_Worksheet in L-0016" xfId="15"/>
    <cellStyle name="Millares 2 2" xfId="16"/>
    <cellStyle name="Millares 4" xfId="17"/>
    <cellStyle name="Millares 5" xfId="18"/>
    <cellStyle name="Normal 6" xfId="19"/>
    <cellStyle name="Porcentual 2" xfId="20"/>
    <cellStyle name="Normal 7" xfId="21"/>
    <cellStyle name="Millares 6" xfId="22"/>
    <cellStyle name="Normal 2 4" xfId="23"/>
    <cellStyle name="Normal 10" xfId="24"/>
    <cellStyle name="Normal 8 2" xfId="25"/>
    <cellStyle name="Porcentaje 4" xfId="26"/>
    <cellStyle name="Normal 8" xfId="27"/>
    <cellStyle name="Normal 2 5" xfId="28"/>
    <cellStyle name="Normal 11" xfId="29"/>
    <cellStyle name="Normal 9" xfId="30"/>
    <cellStyle name="Normal 2 3 2" xfId="31"/>
    <cellStyle name="Normal 2 6" xfId="32"/>
    <cellStyle name="Porcentaje 2 2" xfId="33"/>
    <cellStyle name="Moneda 2 2" xfId="34"/>
    <cellStyle name="Millares 2 3" xfId="35"/>
    <cellStyle name="Normal 3 2" xfId="36"/>
    <cellStyle name="Porcentaje 3 2" xfId="37"/>
    <cellStyle name="Moneda 3 2" xfId="38"/>
    <cellStyle name="Millares 3 2" xfId="39"/>
    <cellStyle name="Normal 4 3" xfId="40"/>
    <cellStyle name="Normal 5 3" xfId="41"/>
    <cellStyle name="Normal 2 2 2" xfId="42"/>
    <cellStyle name="Normal 4 2 2" xfId="43"/>
    <cellStyle name="Normal 5 2 2" xfId="44"/>
    <cellStyle name="Millares 4 2" xfId="45"/>
    <cellStyle name="Normal 7 2" xfId="46"/>
    <cellStyle name="Millares 6 2" xfId="47"/>
    <cellStyle name="Normal 10 2" xfId="48"/>
    <cellStyle name="Normal 8 2 2" xfId="49"/>
    <cellStyle name="Normal 8 3" xfId="50"/>
    <cellStyle name="Normal 10 3" xfId="51"/>
    <cellStyle name="Millares 2 3 2" xfId="52"/>
    <cellStyle name="Millares 2 3 3" xfId="53"/>
    <cellStyle name="Millares 2 4" xfId="54"/>
    <cellStyle name="Millares 2 5" xfId="55"/>
    <cellStyle name="Millares 2 6" xfId="56"/>
    <cellStyle name="Millares 3 2 2" xfId="57"/>
    <cellStyle name="Millares 3 2 3" xfId="58"/>
    <cellStyle name="Millares 3 3" xfId="59"/>
    <cellStyle name="Millares 3 4" xfId="60"/>
    <cellStyle name="Millares 4 2 2" xfId="61"/>
    <cellStyle name="Millares 4 2 3" xfId="62"/>
    <cellStyle name="Millares 4 3" xfId="63"/>
    <cellStyle name="Millares 4 4" xfId="64"/>
    <cellStyle name="Millares 6 2 2" xfId="65"/>
    <cellStyle name="Millares 6 2 3" xfId="66"/>
    <cellStyle name="Millares 6 3" xfId="67"/>
    <cellStyle name="Millares 6 4" xfId="68"/>
    <cellStyle name="Moneda 2 2 2" xfId="69"/>
    <cellStyle name="Moneda 2 2 3" xfId="70"/>
    <cellStyle name="Moneda 2 3" xfId="71"/>
    <cellStyle name="Moneda 2 4" xfId="72"/>
    <cellStyle name="Moneda 3 2 2" xfId="73"/>
    <cellStyle name="Moneda 3 2 3" xfId="74"/>
    <cellStyle name="Moneda 3 3" xfId="75"/>
    <cellStyle name="Moneda 3 4" xfId="76"/>
    <cellStyle name="Moneda 4" xfId="77"/>
    <cellStyle name="Moneda 5" xfId="78"/>
    <cellStyle name="Normal 10 2 2" xfId="79"/>
    <cellStyle name="Normal 10 2 3" xfId="80"/>
    <cellStyle name="Normal 10 4" xfId="81"/>
    <cellStyle name="Normal 11 2" xfId="82"/>
    <cellStyle name="Normal 11 3" xfId="83"/>
    <cellStyle name="Normal 12" xfId="84"/>
    <cellStyle name="Normal 12 2" xfId="85"/>
    <cellStyle name="Normal 12 3" xfId="86"/>
    <cellStyle name="Normal 2 2 2 2" xfId="87"/>
    <cellStyle name="Normal 2 2 2 3" xfId="88"/>
    <cellStyle name="Normal 2 2 3" xfId="89"/>
    <cellStyle name="Normal 2 2 4" xfId="90"/>
    <cellStyle name="Normal 2 3 2 2" xfId="91"/>
    <cellStyle name="Normal 2 3 2 3" xfId="92"/>
    <cellStyle name="Normal 2 3 3" xfId="93"/>
    <cellStyle name="Normal 2 3 4" xfId="94"/>
    <cellStyle name="Normal 2 6 2" xfId="95"/>
    <cellStyle name="Normal 2 6 3" xfId="96"/>
    <cellStyle name="Normal 3 2 2" xfId="97"/>
    <cellStyle name="Normal 3 2 3" xfId="98"/>
    <cellStyle name="Normal 3 3" xfId="99"/>
    <cellStyle name="Normal 3 4" xfId="100"/>
    <cellStyle name="Normal 4 2 2 2" xfId="101"/>
    <cellStyle name="Normal 4 2 2 3" xfId="102"/>
    <cellStyle name="Normal 4 2 3" xfId="103"/>
    <cellStyle name="Normal 4 2 4" xfId="104"/>
    <cellStyle name="Normal 4 3 2" xfId="105"/>
    <cellStyle name="Normal 4 3 3" xfId="106"/>
    <cellStyle name="Normal 4 4" xfId="107"/>
    <cellStyle name="Normal 4 5" xfId="108"/>
    <cellStyle name="Normal 4 6" xfId="109"/>
    <cellStyle name="Normal 5 2 2 2" xfId="110"/>
    <cellStyle name="Normal 5 2 2 3" xfId="111"/>
    <cellStyle name="Normal 5 2 3" xfId="112"/>
    <cellStyle name="Normal 5 2 4" xfId="113"/>
    <cellStyle name="Normal 5 3 2" xfId="114"/>
    <cellStyle name="Normal 5 3 3" xfId="115"/>
    <cellStyle name="Normal 5 4" xfId="116"/>
    <cellStyle name="Normal 5 5" xfId="117"/>
    <cellStyle name="Normal 7 2 2" xfId="118"/>
    <cellStyle name="Normal 7 2 3" xfId="119"/>
    <cellStyle name="Normal 7 3" xfId="120"/>
    <cellStyle name="Normal 7 4" xfId="121"/>
    <cellStyle name="Normal 8 3 2" xfId="122"/>
    <cellStyle name="Normal 8 3 3" xfId="123"/>
    <cellStyle name="Normal 8 4" xfId="124"/>
    <cellStyle name="Normal 8 5" xfId="125"/>
    <cellStyle name="Porcentaje 2 2 2" xfId="126"/>
    <cellStyle name="Porcentaje 2 2 3" xfId="127"/>
    <cellStyle name="Porcentaje 2 3" xfId="128"/>
    <cellStyle name="Porcentaje 2 4" xfId="129"/>
    <cellStyle name="Porcentaje 3 2 2" xfId="130"/>
    <cellStyle name="Porcentaje 3 2 3" xfId="131"/>
    <cellStyle name="Porcentaje 3 3" xfId="132"/>
    <cellStyle name="Porcentaje 3 4" xfId="133"/>
    <cellStyle name="Notas 2" xfId="134"/>
    <cellStyle name="Porcentaje 5" xfId="135"/>
    <cellStyle name="Porcentaje 5 2" xfId="136"/>
    <cellStyle name="Porcentaje 6" xfId="137"/>
    <cellStyle name="Normal 13" xfId="13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Hoja2">
    <outlinePr summaryBelow="1" summaryRight="1"/>
    <pageSetUpPr/>
  </sheetPr>
  <dimension ref="B1:F13"/>
  <sheetViews>
    <sheetView zoomScale="90" zoomScaleNormal="90" workbookViewId="0">
      <selection activeCell="E11" sqref="E11:F11"/>
    </sheetView>
  </sheetViews>
  <sheetFormatPr baseColWidth="10" defaultColWidth="11.44140625" defaultRowHeight="13.2"/>
  <cols>
    <col width="15.33203125" customWidth="1" min="2" max="2"/>
    <col width="20.88671875" customWidth="1" min="3" max="3"/>
    <col width="19.109375" customWidth="1" min="4" max="4"/>
    <col width="35.109375" customWidth="1" min="6" max="6"/>
    <col width="15.33203125" customWidth="1" min="253" max="253"/>
    <col width="20.88671875" customWidth="1" min="254" max="254"/>
    <col width="19.109375" customWidth="1" min="255" max="255"/>
    <col width="35.109375" customWidth="1" min="257" max="257"/>
    <col width="15.33203125" customWidth="1" min="509" max="509"/>
    <col width="20.88671875" customWidth="1" min="510" max="510"/>
    <col width="19.109375" customWidth="1" min="511" max="511"/>
    <col width="35.109375" customWidth="1" min="513" max="513"/>
    <col width="15.33203125" customWidth="1" min="765" max="765"/>
    <col width="20.88671875" customWidth="1" min="766" max="766"/>
    <col width="19.109375" customWidth="1" min="767" max="767"/>
    <col width="35.109375" customWidth="1" min="769" max="769"/>
    <col width="15.33203125" customWidth="1" min="1021" max="1021"/>
    <col width="20.88671875" customWidth="1" min="1022" max="1022"/>
    <col width="19.109375" customWidth="1" min="1023" max="1023"/>
    <col width="35.109375" customWidth="1" min="1025" max="1025"/>
    <col width="15.33203125" customWidth="1" min="1277" max="1277"/>
    <col width="20.88671875" customWidth="1" min="1278" max="1278"/>
    <col width="19.109375" customWidth="1" min="1279" max="1279"/>
    <col width="35.109375" customWidth="1" min="1281" max="1281"/>
    <col width="15.33203125" customWidth="1" min="1533" max="1533"/>
    <col width="20.88671875" customWidth="1" min="1534" max="1534"/>
    <col width="19.109375" customWidth="1" min="1535" max="1535"/>
    <col width="35.109375" customWidth="1" min="1537" max="1537"/>
    <col width="15.33203125" customWidth="1" min="1789" max="1789"/>
    <col width="20.88671875" customWidth="1" min="1790" max="1790"/>
    <col width="19.109375" customWidth="1" min="1791" max="1791"/>
    <col width="35.109375" customWidth="1" min="1793" max="1793"/>
    <col width="15.33203125" customWidth="1" min="2045" max="2045"/>
    <col width="20.88671875" customWidth="1" min="2046" max="2046"/>
    <col width="19.109375" customWidth="1" min="2047" max="2047"/>
    <col width="35.109375" customWidth="1" min="2049" max="2049"/>
    <col width="15.33203125" customWidth="1" min="2301" max="2301"/>
    <col width="20.88671875" customWidth="1" min="2302" max="2302"/>
    <col width="19.109375" customWidth="1" min="2303" max="2303"/>
    <col width="35.109375" customWidth="1" min="2305" max="2305"/>
    <col width="15.33203125" customWidth="1" min="2557" max="2557"/>
    <col width="20.88671875" customWidth="1" min="2558" max="2558"/>
    <col width="19.109375" customWidth="1" min="2559" max="2559"/>
    <col width="35.109375" customWidth="1" min="2561" max="2561"/>
    <col width="15.33203125" customWidth="1" min="2813" max="2813"/>
    <col width="20.88671875" customWidth="1" min="2814" max="2814"/>
    <col width="19.109375" customWidth="1" min="2815" max="2815"/>
    <col width="35.109375" customWidth="1" min="2817" max="2817"/>
    <col width="15.33203125" customWidth="1" min="3069" max="3069"/>
    <col width="20.88671875" customWidth="1" min="3070" max="3070"/>
    <col width="19.109375" customWidth="1" min="3071" max="3071"/>
    <col width="35.109375" customWidth="1" min="3073" max="3073"/>
    <col width="15.33203125" customWidth="1" min="3325" max="3325"/>
    <col width="20.88671875" customWidth="1" min="3326" max="3326"/>
    <col width="19.109375" customWidth="1" min="3327" max="3327"/>
    <col width="35.109375" customWidth="1" min="3329" max="3329"/>
    <col width="15.33203125" customWidth="1" min="3581" max="3581"/>
    <col width="20.88671875" customWidth="1" min="3582" max="3582"/>
    <col width="19.109375" customWidth="1" min="3583" max="3583"/>
    <col width="35.109375" customWidth="1" min="3585" max="3585"/>
    <col width="15.33203125" customWidth="1" min="3837" max="3837"/>
    <col width="20.88671875" customWidth="1" min="3838" max="3838"/>
    <col width="19.109375" customWidth="1" min="3839" max="3839"/>
    <col width="35.109375" customWidth="1" min="3841" max="3841"/>
    <col width="15.33203125" customWidth="1" min="4093" max="4093"/>
    <col width="20.88671875" customWidth="1" min="4094" max="4094"/>
    <col width="19.109375" customWidth="1" min="4095" max="4095"/>
    <col width="35.109375" customWidth="1" min="4097" max="4097"/>
    <col width="15.33203125" customWidth="1" min="4349" max="4349"/>
    <col width="20.88671875" customWidth="1" min="4350" max="4350"/>
    <col width="19.109375" customWidth="1" min="4351" max="4351"/>
    <col width="35.109375" customWidth="1" min="4353" max="4353"/>
    <col width="15.33203125" customWidth="1" min="4605" max="4605"/>
    <col width="20.88671875" customWidth="1" min="4606" max="4606"/>
    <col width="19.109375" customWidth="1" min="4607" max="4607"/>
    <col width="35.109375" customWidth="1" min="4609" max="4609"/>
    <col width="15.33203125" customWidth="1" min="4861" max="4861"/>
    <col width="20.88671875" customWidth="1" min="4862" max="4862"/>
    <col width="19.109375" customWidth="1" min="4863" max="4863"/>
    <col width="35.109375" customWidth="1" min="4865" max="4865"/>
    <col width="15.33203125" customWidth="1" min="5117" max="5117"/>
    <col width="20.88671875" customWidth="1" min="5118" max="5118"/>
    <col width="19.109375" customWidth="1" min="5119" max="5119"/>
    <col width="35.109375" customWidth="1" min="5121" max="5121"/>
    <col width="15.33203125" customWidth="1" min="5373" max="5373"/>
    <col width="20.88671875" customWidth="1" min="5374" max="5374"/>
    <col width="19.109375" customWidth="1" min="5375" max="5375"/>
    <col width="35.109375" customWidth="1" min="5377" max="5377"/>
    <col width="15.33203125" customWidth="1" min="5629" max="5629"/>
    <col width="20.88671875" customWidth="1" min="5630" max="5630"/>
    <col width="19.109375" customWidth="1" min="5631" max="5631"/>
    <col width="35.109375" customWidth="1" min="5633" max="5633"/>
    <col width="15.33203125" customWidth="1" min="5885" max="5885"/>
    <col width="20.88671875" customWidth="1" min="5886" max="5886"/>
    <col width="19.109375" customWidth="1" min="5887" max="5887"/>
    <col width="35.109375" customWidth="1" min="5889" max="5889"/>
    <col width="15.33203125" customWidth="1" min="6141" max="6141"/>
    <col width="20.88671875" customWidth="1" min="6142" max="6142"/>
    <col width="19.109375" customWidth="1" min="6143" max="6143"/>
    <col width="35.109375" customWidth="1" min="6145" max="6145"/>
    <col width="15.33203125" customWidth="1" min="6397" max="6397"/>
    <col width="20.88671875" customWidth="1" min="6398" max="6398"/>
    <col width="19.109375" customWidth="1" min="6399" max="6399"/>
    <col width="35.109375" customWidth="1" min="6401" max="6401"/>
    <col width="15.33203125" customWidth="1" min="6653" max="6653"/>
    <col width="20.88671875" customWidth="1" min="6654" max="6654"/>
    <col width="19.109375" customWidth="1" min="6655" max="6655"/>
    <col width="35.109375" customWidth="1" min="6657" max="6657"/>
    <col width="15.33203125" customWidth="1" min="6909" max="6909"/>
    <col width="20.88671875" customWidth="1" min="6910" max="6910"/>
    <col width="19.109375" customWidth="1" min="6911" max="6911"/>
    <col width="35.109375" customWidth="1" min="6913" max="6913"/>
    <col width="15.33203125" customWidth="1" min="7165" max="7165"/>
    <col width="20.88671875" customWidth="1" min="7166" max="7166"/>
    <col width="19.109375" customWidth="1" min="7167" max="7167"/>
    <col width="35.109375" customWidth="1" min="7169" max="7169"/>
    <col width="15.33203125" customWidth="1" min="7421" max="7421"/>
    <col width="20.88671875" customWidth="1" min="7422" max="7422"/>
    <col width="19.109375" customWidth="1" min="7423" max="7423"/>
    <col width="35.109375" customWidth="1" min="7425" max="7425"/>
    <col width="15.33203125" customWidth="1" min="7677" max="7677"/>
    <col width="20.88671875" customWidth="1" min="7678" max="7678"/>
    <col width="19.109375" customWidth="1" min="7679" max="7679"/>
    <col width="35.109375" customWidth="1" min="7681" max="7681"/>
    <col width="15.33203125" customWidth="1" min="7933" max="7933"/>
    <col width="20.88671875" customWidth="1" min="7934" max="7934"/>
    <col width="19.109375" customWidth="1" min="7935" max="7935"/>
    <col width="35.109375" customWidth="1" min="7937" max="7937"/>
    <col width="15.33203125" customWidth="1" min="8189" max="8189"/>
    <col width="20.88671875" customWidth="1" min="8190" max="8190"/>
    <col width="19.109375" customWidth="1" min="8191" max="8191"/>
    <col width="35.109375" customWidth="1" min="8193" max="8193"/>
    <col width="15.33203125" customWidth="1" min="8445" max="8445"/>
    <col width="20.88671875" customWidth="1" min="8446" max="8446"/>
    <col width="19.109375" customWidth="1" min="8447" max="8447"/>
    <col width="35.109375" customWidth="1" min="8449" max="8449"/>
    <col width="15.33203125" customWidth="1" min="8701" max="8701"/>
    <col width="20.88671875" customWidth="1" min="8702" max="8702"/>
    <col width="19.109375" customWidth="1" min="8703" max="8703"/>
    <col width="35.109375" customWidth="1" min="8705" max="8705"/>
    <col width="15.33203125" customWidth="1" min="8957" max="8957"/>
    <col width="20.88671875" customWidth="1" min="8958" max="8958"/>
    <col width="19.109375" customWidth="1" min="8959" max="8959"/>
    <col width="35.109375" customWidth="1" min="8961" max="8961"/>
    <col width="15.33203125" customWidth="1" min="9213" max="9213"/>
    <col width="20.88671875" customWidth="1" min="9214" max="9214"/>
    <col width="19.109375" customWidth="1" min="9215" max="9215"/>
    <col width="35.109375" customWidth="1" min="9217" max="9217"/>
    <col width="15.33203125" customWidth="1" min="9469" max="9469"/>
    <col width="20.88671875" customWidth="1" min="9470" max="9470"/>
    <col width="19.109375" customWidth="1" min="9471" max="9471"/>
    <col width="35.109375" customWidth="1" min="9473" max="9473"/>
    <col width="15.33203125" customWidth="1" min="9725" max="9725"/>
    <col width="20.88671875" customWidth="1" min="9726" max="9726"/>
    <col width="19.109375" customWidth="1" min="9727" max="9727"/>
    <col width="35.109375" customWidth="1" min="9729" max="9729"/>
    <col width="15.33203125" customWidth="1" min="9981" max="9981"/>
    <col width="20.88671875" customWidth="1" min="9982" max="9982"/>
    <col width="19.109375" customWidth="1" min="9983" max="9983"/>
    <col width="35.109375" customWidth="1" min="9985" max="9985"/>
    <col width="15.33203125" customWidth="1" min="10237" max="10237"/>
    <col width="20.88671875" customWidth="1" min="10238" max="10238"/>
    <col width="19.109375" customWidth="1" min="10239" max="10239"/>
    <col width="35.109375" customWidth="1" min="10241" max="10241"/>
    <col width="15.33203125" customWidth="1" min="10493" max="10493"/>
    <col width="20.88671875" customWidth="1" min="10494" max="10494"/>
    <col width="19.109375" customWidth="1" min="10495" max="10495"/>
    <col width="35.109375" customWidth="1" min="10497" max="10497"/>
    <col width="15.33203125" customWidth="1" min="10749" max="10749"/>
    <col width="20.88671875" customWidth="1" min="10750" max="10750"/>
    <col width="19.109375" customWidth="1" min="10751" max="10751"/>
    <col width="35.109375" customWidth="1" min="10753" max="10753"/>
    <col width="15.33203125" customWidth="1" min="11005" max="11005"/>
    <col width="20.88671875" customWidth="1" min="11006" max="11006"/>
    <col width="19.109375" customWidth="1" min="11007" max="11007"/>
    <col width="35.109375" customWidth="1" min="11009" max="11009"/>
    <col width="15.33203125" customWidth="1" min="11261" max="11261"/>
    <col width="20.88671875" customWidth="1" min="11262" max="11262"/>
    <col width="19.109375" customWidth="1" min="11263" max="11263"/>
    <col width="35.109375" customWidth="1" min="11265" max="11265"/>
    <col width="15.33203125" customWidth="1" min="11517" max="11517"/>
    <col width="20.88671875" customWidth="1" min="11518" max="11518"/>
    <col width="19.109375" customWidth="1" min="11519" max="11519"/>
    <col width="35.109375" customWidth="1" min="11521" max="11521"/>
    <col width="15.33203125" customWidth="1" min="11773" max="11773"/>
    <col width="20.88671875" customWidth="1" min="11774" max="11774"/>
    <col width="19.109375" customWidth="1" min="11775" max="11775"/>
    <col width="35.109375" customWidth="1" min="11777" max="11777"/>
    <col width="15.33203125" customWidth="1" min="12029" max="12029"/>
    <col width="20.88671875" customWidth="1" min="12030" max="12030"/>
    <col width="19.109375" customWidth="1" min="12031" max="12031"/>
    <col width="35.109375" customWidth="1" min="12033" max="12033"/>
    <col width="15.33203125" customWidth="1" min="12285" max="12285"/>
    <col width="20.88671875" customWidth="1" min="12286" max="12286"/>
    <col width="19.109375" customWidth="1" min="12287" max="12287"/>
    <col width="35.109375" customWidth="1" min="12289" max="12289"/>
    <col width="15.33203125" customWidth="1" min="12541" max="12541"/>
    <col width="20.88671875" customWidth="1" min="12542" max="12542"/>
    <col width="19.109375" customWidth="1" min="12543" max="12543"/>
    <col width="35.109375" customWidth="1" min="12545" max="12545"/>
    <col width="15.33203125" customWidth="1" min="12797" max="12797"/>
    <col width="20.88671875" customWidth="1" min="12798" max="12798"/>
    <col width="19.109375" customWidth="1" min="12799" max="12799"/>
    <col width="35.109375" customWidth="1" min="12801" max="12801"/>
    <col width="15.33203125" customWidth="1" min="13053" max="13053"/>
    <col width="20.88671875" customWidth="1" min="13054" max="13054"/>
    <col width="19.109375" customWidth="1" min="13055" max="13055"/>
    <col width="35.109375" customWidth="1" min="13057" max="13057"/>
    <col width="15.33203125" customWidth="1" min="13309" max="13309"/>
    <col width="20.88671875" customWidth="1" min="13310" max="13310"/>
    <col width="19.109375" customWidth="1" min="13311" max="13311"/>
    <col width="35.109375" customWidth="1" min="13313" max="13313"/>
    <col width="15.33203125" customWidth="1" min="13565" max="13565"/>
    <col width="20.88671875" customWidth="1" min="13566" max="13566"/>
    <col width="19.109375" customWidth="1" min="13567" max="13567"/>
    <col width="35.109375" customWidth="1" min="13569" max="13569"/>
    <col width="15.33203125" customWidth="1" min="13821" max="13821"/>
    <col width="20.88671875" customWidth="1" min="13822" max="13822"/>
    <col width="19.109375" customWidth="1" min="13823" max="13823"/>
    <col width="35.109375" customWidth="1" min="13825" max="13825"/>
    <col width="15.33203125" customWidth="1" min="14077" max="14077"/>
    <col width="20.88671875" customWidth="1" min="14078" max="14078"/>
    <col width="19.109375" customWidth="1" min="14079" max="14079"/>
    <col width="35.109375" customWidth="1" min="14081" max="14081"/>
    <col width="15.33203125" customWidth="1" min="14333" max="14333"/>
    <col width="20.88671875" customWidth="1" min="14334" max="14334"/>
    <col width="19.109375" customWidth="1" min="14335" max="14335"/>
    <col width="35.109375" customWidth="1" min="14337" max="14337"/>
    <col width="15.33203125" customWidth="1" min="14589" max="14589"/>
    <col width="20.88671875" customWidth="1" min="14590" max="14590"/>
    <col width="19.109375" customWidth="1" min="14591" max="14591"/>
    <col width="35.109375" customWidth="1" min="14593" max="14593"/>
    <col width="15.33203125" customWidth="1" min="14845" max="14845"/>
    <col width="20.88671875" customWidth="1" min="14846" max="14846"/>
    <col width="19.109375" customWidth="1" min="14847" max="14847"/>
    <col width="35.109375" customWidth="1" min="14849" max="14849"/>
    <col width="15.33203125" customWidth="1" min="15101" max="15101"/>
    <col width="20.88671875" customWidth="1" min="15102" max="15102"/>
    <col width="19.109375" customWidth="1" min="15103" max="15103"/>
    <col width="35.109375" customWidth="1" min="15105" max="15105"/>
    <col width="15.33203125" customWidth="1" min="15357" max="15357"/>
    <col width="20.88671875" customWidth="1" min="15358" max="15358"/>
    <col width="19.109375" customWidth="1" min="15359" max="15359"/>
    <col width="35.109375" customWidth="1" min="15361" max="15361"/>
    <col width="15.33203125" customWidth="1" min="15613" max="15613"/>
    <col width="20.88671875" customWidth="1" min="15614" max="15614"/>
    <col width="19.109375" customWidth="1" min="15615" max="15615"/>
    <col width="35.109375" customWidth="1" min="15617" max="15617"/>
    <col width="15.33203125" customWidth="1" min="15869" max="15869"/>
    <col width="20.88671875" customWidth="1" min="15870" max="15870"/>
    <col width="19.109375" customWidth="1" min="15871" max="15871"/>
    <col width="35.109375" customWidth="1" min="15873" max="15873"/>
    <col width="15.33203125" customWidth="1" min="16125" max="16125"/>
    <col width="20.88671875" customWidth="1" min="16126" max="16126"/>
    <col width="19.109375" customWidth="1" min="16127" max="16127"/>
    <col width="35.109375" customWidth="1" min="16129" max="16129"/>
  </cols>
  <sheetData>
    <row r="1">
      <c r="B1" s="16" t="inlineStr">
        <is>
          <t>Pass:plantilla</t>
        </is>
      </c>
    </row>
    <row r="2" ht="13.8" customHeight="1" thickBot="1"/>
    <row r="3">
      <c r="B3" s="151" t="inlineStr">
        <is>
          <t>Control de Cambios Documento</t>
        </is>
      </c>
      <c r="C3" s="152" t="n"/>
      <c r="D3" s="152" t="n"/>
      <c r="E3" s="152" t="n"/>
      <c r="F3" s="153" t="n"/>
    </row>
    <row r="4">
      <c r="B4" s="154" t="n"/>
      <c r="F4" s="155" t="n"/>
    </row>
    <row r="5">
      <c r="B5" s="154" t="n"/>
      <c r="F5" s="155" t="n"/>
    </row>
    <row r="6" ht="14.4" customHeight="1">
      <c r="B6" s="107" t="inlineStr">
        <is>
          <t>Versión</t>
        </is>
      </c>
      <c r="C6" s="107" t="inlineStr">
        <is>
          <t>Autor</t>
        </is>
      </c>
      <c r="D6" s="107" t="inlineStr">
        <is>
          <t>Fecha</t>
        </is>
      </c>
      <c r="E6" s="107" t="inlineStr">
        <is>
          <t>Descripción</t>
        </is>
      </c>
      <c r="F6" s="156" t="n"/>
    </row>
    <row r="7" ht="12.75" customHeight="1">
      <c r="B7" s="81" t="inlineStr">
        <is>
          <t>01</t>
        </is>
      </c>
      <c r="C7" s="79" t="inlineStr">
        <is>
          <t>David Calle</t>
        </is>
      </c>
      <c r="D7" s="60" t="n">
        <v>45945</v>
      </c>
      <c r="E7" s="108" t="inlineStr">
        <is>
          <t>Diseño de Casos de Prueba</t>
        </is>
      </c>
      <c r="F7" s="156" t="n"/>
    </row>
    <row r="8">
      <c r="B8" s="82" t="n"/>
      <c r="C8" s="79" t="n"/>
      <c r="D8" s="78" t="n"/>
      <c r="E8" s="110" t="n"/>
      <c r="F8" s="156" t="n"/>
    </row>
    <row r="9">
      <c r="B9" s="82" t="n"/>
      <c r="C9" s="79" t="n"/>
      <c r="D9" s="78" t="n"/>
      <c r="E9" s="99" t="n"/>
      <c r="F9" s="156" t="n"/>
    </row>
    <row r="10">
      <c r="B10" s="82" t="n"/>
      <c r="C10" s="79" t="n"/>
      <c r="D10" s="78" t="n"/>
      <c r="E10" s="99" t="n"/>
      <c r="F10" s="156" t="n"/>
    </row>
    <row r="11">
      <c r="B11" s="82" t="n"/>
      <c r="C11" s="79" t="n"/>
      <c r="D11" s="78" t="n"/>
      <c r="E11" s="99" t="n"/>
      <c r="F11" s="156" t="n"/>
    </row>
    <row r="12">
      <c r="B12" s="82" t="n"/>
      <c r="C12" s="79" t="n"/>
      <c r="D12" s="78" t="n"/>
      <c r="E12" s="99" t="n"/>
      <c r="F12" s="156" t="n"/>
    </row>
    <row r="13">
      <c r="B13" s="82" t="n"/>
      <c r="C13" s="79" t="n"/>
      <c r="D13" s="78" t="n"/>
      <c r="E13" s="99" t="n"/>
      <c r="F13" s="156" t="n"/>
    </row>
  </sheetData>
  <mergeCells count="9">
    <mergeCell ref="E12:F12"/>
    <mergeCell ref="E6:F6"/>
    <mergeCell ref="E10:F10"/>
    <mergeCell ref="E7:F7"/>
    <mergeCell ref="E11:F11"/>
    <mergeCell ref="B3:F5"/>
    <mergeCell ref="E13:F13"/>
    <mergeCell ref="E9:F9"/>
    <mergeCell ref="E8:F8"/>
  </mergeCells>
  <dataValidations count="1">
    <dataValidation sqref="E7:F7" showDropDown="0" showInputMessage="1" showErrorMessage="1" allowBlank="1" type="list">
      <formula1>"Diseño de Casos de Prueba, Refinamiento de Casos De Prueba,Ejecución de Casos de Prueba"</formula1>
    </dataValidation>
  </dataValidations>
  <pageMargins left="0.7" right="0.7" top="0.75" bottom="0.75" header="0.3" footer="0.3"/>
  <pageSetup orientation="portrait" paperSize="9" horizontalDpi="200" verticalDpi="200"/>
</worksheet>
</file>

<file path=xl/worksheets/sheet2.xml><?xml version="1.0" encoding="utf-8"?>
<worksheet xmlns="http://schemas.openxmlformats.org/spreadsheetml/2006/main">
  <sheetPr codeName="Hoja1">
    <outlinePr summaryBelow="1" summaryRight="1"/>
    <pageSetUpPr/>
  </sheetPr>
  <dimension ref="A1:EW127"/>
  <sheetViews>
    <sheetView zoomScale="80" zoomScaleNormal="80" workbookViewId="0">
      <pane xSplit="1" ySplit="1" topLeftCell="B37" activePane="bottomRight" state="frozen"/>
      <selection pane="topRight" activeCell="B1" sqref="B1"/>
      <selection pane="bottomLeft" activeCell="A2" sqref="A2"/>
      <selection pane="bottomRight" activeCell="K72" sqref="K72"/>
    </sheetView>
  </sheetViews>
  <sheetFormatPr baseColWidth="10" defaultColWidth="11.44140625" defaultRowHeight="13.2"/>
  <cols>
    <col width="119.5546875" bestFit="1" customWidth="1" min="1" max="1"/>
    <col width="5.109375" customWidth="1" min="2" max="38"/>
    <col width="5.6640625" customWidth="1" min="39" max="42"/>
    <col width="5.5546875" customWidth="1" min="43" max="56"/>
    <col width="5.5546875" customWidth="1" style="30" min="57" max="64"/>
    <col width="6" customWidth="1" style="30" min="65" max="65"/>
    <col width="6.33203125" bestFit="1" customWidth="1" style="30" min="66" max="68"/>
    <col width="6.33203125" customWidth="1" style="30" min="69" max="69"/>
    <col width="6.33203125" bestFit="1" customWidth="1" style="30" min="70" max="70"/>
    <col width="6.33203125" customWidth="1" style="30" min="71" max="72"/>
    <col width="6.33203125" bestFit="1" customWidth="1" style="30" min="73" max="73"/>
    <col width="6.33203125" customWidth="1" style="30" min="74" max="75"/>
    <col width="6.33203125" bestFit="1" customWidth="1" style="30" min="76" max="80"/>
    <col width="11.44140625" customWidth="1" style="30" min="81" max="150"/>
  </cols>
  <sheetData>
    <row r="1" ht="15" customHeight="1" thickBot="1">
      <c r="A1" s="49" t="n"/>
      <c r="B1" s="50" t="inlineStr">
        <is>
          <t>R1</t>
        </is>
      </c>
      <c r="C1" s="50" t="inlineStr">
        <is>
          <t>R2</t>
        </is>
      </c>
      <c r="D1" s="50" t="n"/>
      <c r="E1" s="50" t="n"/>
      <c r="F1" s="50" t="n"/>
      <c r="G1" s="50" t="inlineStr">
        <is>
          <t>R3</t>
        </is>
      </c>
      <c r="H1" s="50" t="inlineStr">
        <is>
          <t>R4</t>
        </is>
      </c>
      <c r="I1" s="50" t="inlineStr">
        <is>
          <t>R5</t>
        </is>
      </c>
      <c r="J1" s="50" t="inlineStr">
        <is>
          <t>R6</t>
        </is>
      </c>
      <c r="K1" s="50" t="inlineStr">
        <is>
          <t>R7</t>
        </is>
      </c>
      <c r="L1" s="50" t="inlineStr">
        <is>
          <t>R8</t>
        </is>
      </c>
      <c r="M1" s="50" t="inlineStr">
        <is>
          <t>R9</t>
        </is>
      </c>
      <c r="N1" s="50" t="inlineStr">
        <is>
          <t>R10</t>
        </is>
      </c>
      <c r="O1" s="50" t="inlineStr">
        <is>
          <t>R11</t>
        </is>
      </c>
      <c r="P1" s="50" t="inlineStr">
        <is>
          <t>R12</t>
        </is>
      </c>
      <c r="Q1" s="50" t="n"/>
      <c r="R1" s="50" t="inlineStr">
        <is>
          <t>R10</t>
        </is>
      </c>
      <c r="S1" s="50" t="inlineStr">
        <is>
          <t>R11</t>
        </is>
      </c>
      <c r="T1" s="50" t="inlineStr">
        <is>
          <t>R12</t>
        </is>
      </c>
      <c r="U1" s="50" t="inlineStr">
        <is>
          <t>R13</t>
        </is>
      </c>
      <c r="V1" s="50" t="inlineStr">
        <is>
          <t>R14</t>
        </is>
      </c>
      <c r="W1" s="50" t="inlineStr">
        <is>
          <t>R15</t>
        </is>
      </c>
      <c r="X1" s="50" t="inlineStr">
        <is>
          <t>R16</t>
        </is>
      </c>
      <c r="Y1" s="50" t="inlineStr">
        <is>
          <t>R17</t>
        </is>
      </c>
      <c r="Z1" s="50" t="inlineStr">
        <is>
          <t>R18</t>
        </is>
      </c>
      <c r="AA1" s="50" t="n"/>
      <c r="AB1" s="50" t="n"/>
      <c r="AC1" s="50" t="inlineStr">
        <is>
          <t>R14</t>
        </is>
      </c>
      <c r="AD1" s="50" t="inlineStr">
        <is>
          <t>R15</t>
        </is>
      </c>
      <c r="AE1" s="50" t="inlineStr">
        <is>
          <t>R16</t>
        </is>
      </c>
      <c r="AF1" s="50" t="inlineStr">
        <is>
          <t>R17</t>
        </is>
      </c>
      <c r="AG1" s="50" t="n"/>
      <c r="AH1" s="50" t="inlineStr">
        <is>
          <t>R18</t>
        </is>
      </c>
      <c r="AI1" s="50" t="inlineStr">
        <is>
          <t>R19</t>
        </is>
      </c>
      <c r="AJ1" s="50" t="inlineStr">
        <is>
          <t>R20</t>
        </is>
      </c>
      <c r="AK1" s="50" t="inlineStr">
        <is>
          <t>R21</t>
        </is>
      </c>
      <c r="AL1" s="50" t="n"/>
      <c r="AM1" s="50" t="inlineStr">
        <is>
          <t>R22</t>
        </is>
      </c>
      <c r="AN1" s="50" t="inlineStr">
        <is>
          <t>R23</t>
        </is>
      </c>
      <c r="AO1" s="50" t="inlineStr">
        <is>
          <t>R24</t>
        </is>
      </c>
      <c r="AP1" s="50" t="inlineStr">
        <is>
          <t>R25</t>
        </is>
      </c>
      <c r="AQ1" s="50" t="inlineStr">
        <is>
          <t>R5</t>
        </is>
      </c>
      <c r="AR1" s="50" t="inlineStr">
        <is>
          <t>R1</t>
        </is>
      </c>
      <c r="AS1" s="50" t="inlineStr">
        <is>
          <t>R2</t>
        </is>
      </c>
      <c r="AT1" s="50" t="inlineStr">
        <is>
          <t>R3</t>
        </is>
      </c>
      <c r="AU1" s="50" t="n"/>
      <c r="AV1" s="50" t="inlineStr">
        <is>
          <t>R4</t>
        </is>
      </c>
      <c r="AW1" s="50" t="inlineStr">
        <is>
          <t>R5</t>
        </is>
      </c>
      <c r="AX1" s="50" t="inlineStr">
        <is>
          <t>R6</t>
        </is>
      </c>
      <c r="AY1" s="50" t="inlineStr">
        <is>
          <t>R7</t>
        </is>
      </c>
      <c r="AZ1" s="50" t="inlineStr">
        <is>
          <t>R8</t>
        </is>
      </c>
      <c r="BA1" s="50" t="inlineStr">
        <is>
          <t>R9</t>
        </is>
      </c>
      <c r="BB1" s="50" t="inlineStr">
        <is>
          <t>R10</t>
        </is>
      </c>
      <c r="BC1" s="50" t="inlineStr">
        <is>
          <t>R11</t>
        </is>
      </c>
      <c r="BD1" s="50" t="inlineStr">
        <is>
          <t>R12</t>
        </is>
      </c>
      <c r="BE1" s="50" t="inlineStr">
        <is>
          <t>R13</t>
        </is>
      </c>
      <c r="BF1" s="50" t="inlineStr">
        <is>
          <t>R14</t>
        </is>
      </c>
      <c r="BG1" s="50" t="inlineStr">
        <is>
          <t>R15</t>
        </is>
      </c>
      <c r="BH1" s="50" t="inlineStr">
        <is>
          <t>R16</t>
        </is>
      </c>
      <c r="BI1" s="50" t="n"/>
      <c r="BJ1" s="50" t="n"/>
      <c r="BK1" s="50" t="n"/>
      <c r="BL1" s="50" t="n"/>
      <c r="BM1" s="50" t="inlineStr">
        <is>
          <t>R17</t>
        </is>
      </c>
      <c r="BN1" s="50" t="inlineStr">
        <is>
          <t>R18</t>
        </is>
      </c>
      <c r="BO1" s="50" t="inlineStr">
        <is>
          <t>R19</t>
        </is>
      </c>
      <c r="BP1" s="50" t="inlineStr">
        <is>
          <t>R20</t>
        </is>
      </c>
      <c r="BQ1" s="50" t="inlineStr">
        <is>
          <t>R21</t>
        </is>
      </c>
      <c r="BR1" s="50" t="inlineStr">
        <is>
          <t>R22</t>
        </is>
      </c>
      <c r="BS1" s="50" t="inlineStr">
        <is>
          <t>R23</t>
        </is>
      </c>
      <c r="BT1" s="50" t="inlineStr">
        <is>
          <t>R24</t>
        </is>
      </c>
      <c r="BU1" s="50" t="inlineStr">
        <is>
          <t>R25</t>
        </is>
      </c>
      <c r="BV1" s="50" t="inlineStr">
        <is>
          <t>R26</t>
        </is>
      </c>
      <c r="BW1" s="50" t="inlineStr">
        <is>
          <t>R27</t>
        </is>
      </c>
      <c r="BX1" s="50" t="inlineStr">
        <is>
          <t>R28</t>
        </is>
      </c>
      <c r="BY1" s="50" t="inlineStr">
        <is>
          <t>R29</t>
        </is>
      </c>
      <c r="BZ1" s="50" t="inlineStr">
        <is>
          <t>R30</t>
        </is>
      </c>
      <c r="CA1" s="50" t="inlineStr">
        <is>
          <t>R31</t>
        </is>
      </c>
      <c r="CB1" s="50" t="inlineStr">
        <is>
          <t>R32</t>
        </is>
      </c>
      <c r="EU1" s="30" t="n"/>
      <c r="EV1" s="30" t="n"/>
      <c r="EW1" s="30" t="n"/>
    </row>
    <row r="2" ht="15" customHeight="1">
      <c r="A2" s="48" t="inlineStr">
        <is>
          <t>Precondiciones</t>
        </is>
      </c>
      <c r="B2" s="51" t="n"/>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c r="AB2" s="51" t="n"/>
      <c r="AC2" s="51" t="n"/>
      <c r="AD2" s="51" t="n"/>
      <c r="AE2" s="51" t="n"/>
      <c r="AF2" s="51" t="n"/>
      <c r="AG2" s="51" t="n"/>
      <c r="AH2" s="51" t="n"/>
      <c r="AI2" s="51" t="n"/>
      <c r="AJ2" s="51" t="n"/>
      <c r="AK2" s="51" t="n"/>
      <c r="AL2" s="51" t="n"/>
      <c r="AM2" s="51" t="n"/>
      <c r="AN2" s="51" t="n"/>
      <c r="AO2" s="51" t="n"/>
      <c r="AP2" s="51" t="n"/>
      <c r="AQ2" s="51" t="n"/>
      <c r="AR2" s="51" t="n"/>
      <c r="AS2" s="51" t="n"/>
      <c r="AT2" s="51" t="n"/>
      <c r="AU2" s="51" t="n"/>
      <c r="AV2" s="51" t="n"/>
      <c r="AW2" s="51" t="n"/>
      <c r="AX2" s="51" t="n"/>
      <c r="AY2" s="51" t="n"/>
      <c r="AZ2" s="51" t="n"/>
      <c r="BA2" s="51" t="n"/>
      <c r="BB2" s="51" t="n"/>
      <c r="BC2" s="51" t="n"/>
      <c r="BD2" s="51" t="n"/>
      <c r="BE2" s="51" t="n"/>
      <c r="BF2" s="51" t="n"/>
      <c r="BG2" s="51" t="n"/>
      <c r="BH2" s="51" t="n"/>
      <c r="BI2" s="51" t="n"/>
      <c r="BJ2" s="51" t="n"/>
      <c r="BK2" s="51" t="n"/>
      <c r="BL2" s="51" t="n"/>
      <c r="BM2" s="51" t="n"/>
      <c r="BN2" s="51" t="n"/>
      <c r="BO2" s="51" t="n"/>
      <c r="BP2" s="51" t="n"/>
      <c r="BQ2" s="51" t="n"/>
      <c r="BR2" s="51" t="n"/>
      <c r="BS2" s="51" t="n"/>
      <c r="BT2" s="51" t="n"/>
      <c r="BU2" s="51" t="n"/>
      <c r="BV2" s="51" t="n"/>
      <c r="BW2" s="51" t="n"/>
      <c r="BX2" s="51" t="n"/>
      <c r="BY2" s="51" t="n"/>
      <c r="BZ2" s="51" t="n"/>
      <c r="CA2" s="51" t="n"/>
      <c r="CB2" s="51" t="n"/>
      <c r="EU2" s="30" t="n"/>
      <c r="EV2" s="30" t="n"/>
      <c r="EW2" s="30" t="n"/>
    </row>
    <row r="3" ht="15" customHeight="1">
      <c r="A3" s="46" t="inlineStr">
        <is>
          <t xml:space="preserve">Usuario Creado en Bantotal </t>
        </is>
      </c>
      <c r="B3" s="56" t="inlineStr">
        <is>
          <t>x</t>
        </is>
      </c>
      <c r="C3" s="56" t="inlineStr">
        <is>
          <t>x</t>
        </is>
      </c>
      <c r="D3" s="56" t="n"/>
      <c r="E3" s="56" t="n"/>
      <c r="F3" s="56" t="n"/>
      <c r="G3" s="56" t="inlineStr">
        <is>
          <t>x</t>
        </is>
      </c>
      <c r="H3" s="56" t="inlineStr">
        <is>
          <t>x</t>
        </is>
      </c>
      <c r="I3" s="56" t="inlineStr">
        <is>
          <t>x</t>
        </is>
      </c>
      <c r="J3" s="56" t="inlineStr">
        <is>
          <t>x</t>
        </is>
      </c>
      <c r="K3" s="56" t="inlineStr">
        <is>
          <t>x</t>
        </is>
      </c>
      <c r="L3" s="56" t="inlineStr">
        <is>
          <t>x</t>
        </is>
      </c>
      <c r="M3" s="56" t="inlineStr">
        <is>
          <t>x</t>
        </is>
      </c>
      <c r="N3" s="56" t="inlineStr">
        <is>
          <t>x</t>
        </is>
      </c>
      <c r="O3" s="56" t="inlineStr">
        <is>
          <t>x</t>
        </is>
      </c>
      <c r="P3" s="56" t="inlineStr">
        <is>
          <t>x</t>
        </is>
      </c>
      <c r="Q3" s="56" t="n"/>
      <c r="R3" s="56" t="inlineStr">
        <is>
          <t>x</t>
        </is>
      </c>
      <c r="S3" s="56" t="inlineStr">
        <is>
          <t>x</t>
        </is>
      </c>
      <c r="T3" s="56" t="inlineStr">
        <is>
          <t>x</t>
        </is>
      </c>
      <c r="U3" s="56" t="inlineStr">
        <is>
          <t>x</t>
        </is>
      </c>
      <c r="V3" s="56" t="inlineStr">
        <is>
          <t>x</t>
        </is>
      </c>
      <c r="W3" s="56" t="inlineStr">
        <is>
          <t>x</t>
        </is>
      </c>
      <c r="X3" s="56" t="inlineStr">
        <is>
          <t>x</t>
        </is>
      </c>
      <c r="Y3" s="56" t="inlineStr">
        <is>
          <t>x</t>
        </is>
      </c>
      <c r="Z3" s="56" t="inlineStr">
        <is>
          <t>x</t>
        </is>
      </c>
      <c r="AA3" s="56" t="n"/>
      <c r="AB3" s="56" t="n"/>
      <c r="AC3" s="56" t="inlineStr">
        <is>
          <t>x</t>
        </is>
      </c>
      <c r="AD3" s="56" t="inlineStr">
        <is>
          <t>x</t>
        </is>
      </c>
      <c r="AE3" s="56" t="inlineStr">
        <is>
          <t>x</t>
        </is>
      </c>
      <c r="AF3" s="56" t="inlineStr">
        <is>
          <t>x</t>
        </is>
      </c>
      <c r="AG3" s="56" t="inlineStr">
        <is>
          <t>x</t>
        </is>
      </c>
      <c r="AH3" s="56" t="inlineStr">
        <is>
          <t>x</t>
        </is>
      </c>
      <c r="AI3" s="56" t="inlineStr">
        <is>
          <t>x</t>
        </is>
      </c>
      <c r="AJ3" s="56" t="inlineStr">
        <is>
          <t>x</t>
        </is>
      </c>
      <c r="AK3" s="56" t="inlineStr">
        <is>
          <t>x</t>
        </is>
      </c>
      <c r="AL3" s="56" t="inlineStr">
        <is>
          <t>x</t>
        </is>
      </c>
      <c r="AM3" s="56" t="n"/>
      <c r="AN3" s="56" t="n"/>
      <c r="AO3" s="56" t="n"/>
      <c r="AP3" s="56" t="n"/>
      <c r="AQ3" s="56" t="inlineStr">
        <is>
          <t>x</t>
        </is>
      </c>
      <c r="AR3" s="56" t="inlineStr">
        <is>
          <t>x</t>
        </is>
      </c>
      <c r="AS3" s="56" t="inlineStr">
        <is>
          <t>x</t>
        </is>
      </c>
      <c r="AT3" s="56" t="inlineStr">
        <is>
          <t>x</t>
        </is>
      </c>
      <c r="AU3" s="56" t="inlineStr">
        <is>
          <t>x</t>
        </is>
      </c>
      <c r="AV3" s="56" t="inlineStr">
        <is>
          <t>x</t>
        </is>
      </c>
      <c r="AW3" s="56" t="inlineStr">
        <is>
          <t>x</t>
        </is>
      </c>
      <c r="AX3" s="56" t="inlineStr">
        <is>
          <t>x</t>
        </is>
      </c>
      <c r="AY3" s="56" t="inlineStr">
        <is>
          <t>x</t>
        </is>
      </c>
      <c r="AZ3" s="56" t="inlineStr">
        <is>
          <t>x</t>
        </is>
      </c>
      <c r="BA3" s="56" t="inlineStr">
        <is>
          <t>x</t>
        </is>
      </c>
      <c r="BB3" s="56" t="inlineStr">
        <is>
          <t>x</t>
        </is>
      </c>
      <c r="BC3" s="56" t="inlineStr">
        <is>
          <t>x</t>
        </is>
      </c>
      <c r="BD3" s="56" t="inlineStr">
        <is>
          <t>x</t>
        </is>
      </c>
      <c r="BE3" s="56" t="inlineStr">
        <is>
          <t>x</t>
        </is>
      </c>
      <c r="BF3" s="56" t="inlineStr">
        <is>
          <t>x</t>
        </is>
      </c>
      <c r="BG3" s="56" t="inlineStr">
        <is>
          <t>x</t>
        </is>
      </c>
      <c r="BH3" s="56" t="inlineStr">
        <is>
          <t>x</t>
        </is>
      </c>
      <c r="BI3" s="56" t="n"/>
      <c r="BJ3" s="56" t="n"/>
      <c r="BK3" s="56" t="n"/>
      <c r="BL3" s="56" t="n"/>
      <c r="BM3" s="56" t="inlineStr">
        <is>
          <t>x</t>
        </is>
      </c>
      <c r="BN3" s="56" t="inlineStr">
        <is>
          <t>x</t>
        </is>
      </c>
      <c r="BO3" s="56" t="inlineStr">
        <is>
          <t>x</t>
        </is>
      </c>
      <c r="BP3" s="56" t="inlineStr">
        <is>
          <t>x</t>
        </is>
      </c>
      <c r="BQ3" s="56" t="inlineStr">
        <is>
          <t>x</t>
        </is>
      </c>
      <c r="BR3" s="56" t="inlineStr">
        <is>
          <t>x</t>
        </is>
      </c>
      <c r="BS3" s="56" t="inlineStr">
        <is>
          <t>x</t>
        </is>
      </c>
      <c r="BT3" s="56" t="inlineStr">
        <is>
          <t>x</t>
        </is>
      </c>
      <c r="BU3" s="56" t="inlineStr">
        <is>
          <t>x</t>
        </is>
      </c>
      <c r="BV3" s="56" t="inlineStr">
        <is>
          <t>x</t>
        </is>
      </c>
      <c r="BW3" s="56" t="inlineStr">
        <is>
          <t>x</t>
        </is>
      </c>
      <c r="BX3" s="56" t="inlineStr">
        <is>
          <t>x</t>
        </is>
      </c>
      <c r="BY3" s="56" t="inlineStr">
        <is>
          <t>x</t>
        </is>
      </c>
      <c r="BZ3" s="56" t="inlineStr">
        <is>
          <t>x</t>
        </is>
      </c>
      <c r="CA3" s="56" t="inlineStr">
        <is>
          <t>x</t>
        </is>
      </c>
      <c r="CB3" s="56" t="inlineStr">
        <is>
          <t>x</t>
        </is>
      </c>
      <c r="EU3" s="30" t="n"/>
      <c r="EV3" s="30" t="n"/>
      <c r="EW3" s="30" t="n"/>
    </row>
    <row r="4" ht="15" customHeight="1">
      <c r="A4" s="46" t="inlineStr">
        <is>
          <t xml:space="preserve">Usuario con perfil y permisos </t>
        </is>
      </c>
      <c r="B4" s="56" t="inlineStr">
        <is>
          <t>x</t>
        </is>
      </c>
      <c r="C4" s="56" t="inlineStr">
        <is>
          <t>x</t>
        </is>
      </c>
      <c r="D4" s="56" t="n"/>
      <c r="E4" s="56" t="n"/>
      <c r="F4" s="56" t="n"/>
      <c r="G4" s="56" t="inlineStr">
        <is>
          <t>x</t>
        </is>
      </c>
      <c r="H4" s="56" t="inlineStr">
        <is>
          <t>x</t>
        </is>
      </c>
      <c r="I4" s="56" t="inlineStr">
        <is>
          <t>x</t>
        </is>
      </c>
      <c r="J4" s="56" t="inlineStr">
        <is>
          <t>x</t>
        </is>
      </c>
      <c r="K4" s="56" t="inlineStr">
        <is>
          <t>x</t>
        </is>
      </c>
      <c r="L4" s="56" t="inlineStr">
        <is>
          <t>x</t>
        </is>
      </c>
      <c r="M4" s="56" t="inlineStr">
        <is>
          <t>x</t>
        </is>
      </c>
      <c r="N4" s="56" t="inlineStr">
        <is>
          <t>x</t>
        </is>
      </c>
      <c r="O4" s="56" t="inlineStr">
        <is>
          <t>x</t>
        </is>
      </c>
      <c r="P4" s="56" t="inlineStr">
        <is>
          <t>x</t>
        </is>
      </c>
      <c r="Q4" s="56" t="n"/>
      <c r="R4" s="56" t="inlineStr">
        <is>
          <t>x</t>
        </is>
      </c>
      <c r="S4" s="56" t="inlineStr">
        <is>
          <t>x</t>
        </is>
      </c>
      <c r="T4" s="56" t="inlineStr">
        <is>
          <t>x</t>
        </is>
      </c>
      <c r="U4" s="56" t="inlineStr">
        <is>
          <t>x</t>
        </is>
      </c>
      <c r="V4" s="56" t="inlineStr">
        <is>
          <t>x</t>
        </is>
      </c>
      <c r="W4" s="56" t="inlineStr">
        <is>
          <t>x</t>
        </is>
      </c>
      <c r="X4" s="56" t="inlineStr">
        <is>
          <t>x</t>
        </is>
      </c>
      <c r="Y4" s="56" t="inlineStr">
        <is>
          <t>x</t>
        </is>
      </c>
      <c r="Z4" s="56" t="inlineStr">
        <is>
          <t>x</t>
        </is>
      </c>
      <c r="AA4" s="56" t="n"/>
      <c r="AB4" s="56" t="n"/>
      <c r="AC4" s="56" t="inlineStr">
        <is>
          <t>x</t>
        </is>
      </c>
      <c r="AD4" s="56" t="inlineStr">
        <is>
          <t>x</t>
        </is>
      </c>
      <c r="AE4" s="56" t="inlineStr">
        <is>
          <t>x</t>
        </is>
      </c>
      <c r="AF4" s="56" t="inlineStr">
        <is>
          <t>x</t>
        </is>
      </c>
      <c r="AG4" s="56" t="inlineStr">
        <is>
          <t>x</t>
        </is>
      </c>
      <c r="AH4" s="56" t="inlineStr">
        <is>
          <t>x</t>
        </is>
      </c>
      <c r="AI4" s="56" t="inlineStr">
        <is>
          <t>x</t>
        </is>
      </c>
      <c r="AJ4" s="56" t="inlineStr">
        <is>
          <t>x</t>
        </is>
      </c>
      <c r="AK4" s="56" t="inlineStr">
        <is>
          <t>x</t>
        </is>
      </c>
      <c r="AL4" s="56" t="inlineStr">
        <is>
          <t>x</t>
        </is>
      </c>
      <c r="AM4" s="56" t="n"/>
      <c r="AN4" s="56" t="n"/>
      <c r="AO4" s="56" t="n"/>
      <c r="AP4" s="56" t="n"/>
      <c r="AQ4" s="56" t="inlineStr">
        <is>
          <t>x</t>
        </is>
      </c>
      <c r="AR4" s="56" t="inlineStr">
        <is>
          <t>x</t>
        </is>
      </c>
      <c r="AS4" s="56" t="inlineStr">
        <is>
          <t>x</t>
        </is>
      </c>
      <c r="AT4" s="56" t="inlineStr">
        <is>
          <t>x</t>
        </is>
      </c>
      <c r="AU4" s="56" t="inlineStr">
        <is>
          <t>x</t>
        </is>
      </c>
      <c r="AV4" s="56" t="inlineStr">
        <is>
          <t>x</t>
        </is>
      </c>
      <c r="AW4" s="56" t="inlineStr">
        <is>
          <t>x</t>
        </is>
      </c>
      <c r="AX4" s="56" t="inlineStr">
        <is>
          <t>x</t>
        </is>
      </c>
      <c r="AY4" s="56" t="inlineStr">
        <is>
          <t>x</t>
        </is>
      </c>
      <c r="AZ4" s="56" t="inlineStr">
        <is>
          <t>x</t>
        </is>
      </c>
      <c r="BA4" s="56" t="inlineStr">
        <is>
          <t>x</t>
        </is>
      </c>
      <c r="BB4" s="56" t="inlineStr">
        <is>
          <t>x</t>
        </is>
      </c>
      <c r="BC4" s="56" t="inlineStr">
        <is>
          <t>x</t>
        </is>
      </c>
      <c r="BD4" s="56" t="inlineStr">
        <is>
          <t>x</t>
        </is>
      </c>
      <c r="BE4" s="56" t="inlineStr">
        <is>
          <t>x</t>
        </is>
      </c>
      <c r="BF4" s="56" t="inlineStr">
        <is>
          <t>x</t>
        </is>
      </c>
      <c r="BG4" s="56" t="inlineStr">
        <is>
          <t>x</t>
        </is>
      </c>
      <c r="BH4" s="56" t="inlineStr">
        <is>
          <t>x</t>
        </is>
      </c>
      <c r="BI4" s="56" t="n"/>
      <c r="BJ4" s="56" t="n"/>
      <c r="BK4" s="56" t="n"/>
      <c r="BL4" s="56" t="n"/>
      <c r="BM4" s="56" t="inlineStr">
        <is>
          <t>x</t>
        </is>
      </c>
      <c r="BN4" s="56" t="inlineStr">
        <is>
          <t>x</t>
        </is>
      </c>
      <c r="BO4" s="56" t="inlineStr">
        <is>
          <t>x</t>
        </is>
      </c>
      <c r="BP4" s="56" t="inlineStr">
        <is>
          <t>x</t>
        </is>
      </c>
      <c r="BQ4" s="56" t="inlineStr">
        <is>
          <t>x</t>
        </is>
      </c>
      <c r="BR4" s="56" t="inlineStr">
        <is>
          <t>x</t>
        </is>
      </c>
      <c r="BS4" s="56" t="inlineStr">
        <is>
          <t>x</t>
        </is>
      </c>
      <c r="BT4" s="56" t="inlineStr">
        <is>
          <t>x</t>
        </is>
      </c>
      <c r="BU4" s="56" t="inlineStr">
        <is>
          <t>x</t>
        </is>
      </c>
      <c r="BV4" s="56" t="inlineStr">
        <is>
          <t>x</t>
        </is>
      </c>
      <c r="BW4" s="56" t="inlineStr">
        <is>
          <t>x</t>
        </is>
      </c>
      <c r="BX4" s="56" t="inlineStr">
        <is>
          <t>x</t>
        </is>
      </c>
      <c r="BY4" s="56" t="inlineStr">
        <is>
          <t>x</t>
        </is>
      </c>
      <c r="BZ4" s="56" t="inlineStr">
        <is>
          <t>x</t>
        </is>
      </c>
      <c r="CA4" s="56" t="inlineStr">
        <is>
          <t>x</t>
        </is>
      </c>
      <c r="CB4" s="56" t="inlineStr">
        <is>
          <t>x</t>
        </is>
      </c>
      <c r="EU4" s="30" t="n"/>
      <c r="EV4" s="30" t="n"/>
      <c r="EW4" s="30" t="n"/>
    </row>
    <row r="5" ht="15" customHeight="1">
      <c r="A5" s="48" t="inlineStr">
        <is>
          <t>Remesadora</t>
        </is>
      </c>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c r="AB5" s="62" t="n"/>
      <c r="AC5" s="62" t="n"/>
      <c r="AD5" s="62" t="n"/>
      <c r="AE5" s="62" t="n"/>
      <c r="AF5" s="62" t="n"/>
      <c r="AG5" s="62" t="n"/>
      <c r="AH5" s="62" t="n"/>
      <c r="AI5" s="62" t="n"/>
      <c r="AJ5" s="62" t="n"/>
      <c r="AK5" s="62" t="n"/>
      <c r="AL5" s="62" t="n"/>
      <c r="AM5" s="62" t="n"/>
      <c r="AN5" s="62" t="n"/>
      <c r="AO5" s="62" t="n"/>
      <c r="AP5" s="62" t="n"/>
      <c r="AQ5" s="62" t="n"/>
      <c r="AR5" s="62" t="n"/>
      <c r="AS5" s="62" t="n"/>
      <c r="AT5" s="62" t="n"/>
      <c r="AU5" s="62" t="n"/>
      <c r="AV5" s="62" t="n"/>
      <c r="AW5" s="62" t="n"/>
      <c r="AX5" s="62" t="n"/>
      <c r="AY5" s="62" t="n"/>
      <c r="AZ5" s="62" t="n"/>
      <c r="BA5" s="62" t="n"/>
      <c r="BB5" s="62" t="n"/>
      <c r="BC5" s="62" t="n"/>
      <c r="BD5" s="62" t="n"/>
      <c r="BE5" s="62" t="n"/>
      <c r="BF5" s="62" t="n"/>
      <c r="BG5" s="62" t="n"/>
      <c r="BH5" s="62" t="n"/>
      <c r="BI5" s="62" t="n"/>
      <c r="BJ5" s="62" t="n"/>
      <c r="BK5" s="62" t="n"/>
      <c r="BL5" s="62" t="n"/>
      <c r="EU5" s="30" t="n"/>
      <c r="EV5" s="30" t="n"/>
      <c r="EW5" s="30" t="n"/>
    </row>
    <row r="6" ht="15" customHeight="1">
      <c r="A6" s="46" t="inlineStr">
        <is>
          <t>RIA</t>
        </is>
      </c>
      <c r="B6" s="56" t="inlineStr">
        <is>
          <t>x</t>
        </is>
      </c>
      <c r="C6" s="56" t="inlineStr">
        <is>
          <t>x</t>
        </is>
      </c>
      <c r="D6" s="56" t="n"/>
      <c r="E6" s="56" t="n"/>
      <c r="F6" s="56" t="n"/>
      <c r="G6" s="56" t="inlineStr">
        <is>
          <t>x</t>
        </is>
      </c>
      <c r="H6" s="56" t="inlineStr">
        <is>
          <t>x</t>
        </is>
      </c>
      <c r="I6" s="56" t="inlineStr">
        <is>
          <t>x</t>
        </is>
      </c>
      <c r="J6" s="56" t="inlineStr">
        <is>
          <t>x</t>
        </is>
      </c>
      <c r="K6" s="56" t="inlineStr">
        <is>
          <t>x</t>
        </is>
      </c>
      <c r="L6" s="56" t="inlineStr">
        <is>
          <t>x</t>
        </is>
      </c>
      <c r="M6" s="56" t="inlineStr">
        <is>
          <t>x</t>
        </is>
      </c>
      <c r="N6" s="56" t="inlineStr">
        <is>
          <t>x</t>
        </is>
      </c>
      <c r="O6" s="56" t="inlineStr">
        <is>
          <t>x</t>
        </is>
      </c>
      <c r="P6" s="56" t="inlineStr">
        <is>
          <t>x</t>
        </is>
      </c>
      <c r="Q6" s="56" t="n"/>
      <c r="R6" s="56" t="inlineStr">
        <is>
          <t>x</t>
        </is>
      </c>
      <c r="S6" s="56" t="inlineStr">
        <is>
          <t>x</t>
        </is>
      </c>
      <c r="T6" s="56" t="inlineStr">
        <is>
          <t>x</t>
        </is>
      </c>
      <c r="U6" s="56" t="inlineStr">
        <is>
          <t>x</t>
        </is>
      </c>
      <c r="V6" s="56" t="inlineStr">
        <is>
          <t>x</t>
        </is>
      </c>
      <c r="W6" s="56" t="inlineStr">
        <is>
          <t>x</t>
        </is>
      </c>
      <c r="X6" s="56" t="inlineStr">
        <is>
          <t>x</t>
        </is>
      </c>
      <c r="Y6" s="56" t="inlineStr">
        <is>
          <t>x</t>
        </is>
      </c>
      <c r="Z6" s="56" t="inlineStr">
        <is>
          <t>x</t>
        </is>
      </c>
      <c r="AA6" s="56" t="n"/>
      <c r="AB6" s="56" t="n"/>
      <c r="AC6" s="56" t="inlineStr">
        <is>
          <t>x</t>
        </is>
      </c>
      <c r="AD6" s="56" t="inlineStr">
        <is>
          <t>x</t>
        </is>
      </c>
      <c r="AE6" s="56" t="inlineStr">
        <is>
          <t>x</t>
        </is>
      </c>
      <c r="AF6" s="56" t="inlineStr">
        <is>
          <t>x</t>
        </is>
      </c>
      <c r="AG6" s="56" t="inlineStr">
        <is>
          <t>x</t>
        </is>
      </c>
      <c r="AH6" s="56" t="inlineStr">
        <is>
          <t>x</t>
        </is>
      </c>
      <c r="AI6" s="56" t="inlineStr">
        <is>
          <t>x</t>
        </is>
      </c>
      <c r="AJ6" s="56" t="inlineStr">
        <is>
          <t>x</t>
        </is>
      </c>
      <c r="AK6" s="56" t="inlineStr">
        <is>
          <t>x</t>
        </is>
      </c>
      <c r="AL6" s="56" t="inlineStr">
        <is>
          <t>x</t>
        </is>
      </c>
      <c r="AM6" s="56" t="n"/>
      <c r="AN6" s="56" t="n"/>
      <c r="AO6" s="56" t="n"/>
      <c r="AP6" s="56" t="n"/>
      <c r="AQ6" s="56" t="inlineStr">
        <is>
          <t>x</t>
        </is>
      </c>
      <c r="AR6" s="56" t="inlineStr">
        <is>
          <t>x</t>
        </is>
      </c>
      <c r="AS6" s="56" t="inlineStr">
        <is>
          <t>x</t>
        </is>
      </c>
      <c r="AT6" s="56" t="inlineStr">
        <is>
          <t>x</t>
        </is>
      </c>
      <c r="AU6" s="56" t="inlineStr">
        <is>
          <t>x</t>
        </is>
      </c>
      <c r="AV6" s="56" t="inlineStr">
        <is>
          <t>x</t>
        </is>
      </c>
      <c r="AW6" s="56" t="inlineStr">
        <is>
          <t>x</t>
        </is>
      </c>
      <c r="AX6" s="56" t="inlineStr">
        <is>
          <t>x</t>
        </is>
      </c>
      <c r="AY6" s="56" t="inlineStr">
        <is>
          <t>x</t>
        </is>
      </c>
      <c r="AZ6" s="56" t="inlineStr">
        <is>
          <t>x</t>
        </is>
      </c>
      <c r="BA6" s="56" t="inlineStr">
        <is>
          <t>x</t>
        </is>
      </c>
      <c r="BB6" s="56" t="inlineStr">
        <is>
          <t>x</t>
        </is>
      </c>
      <c r="BC6" s="56" t="inlineStr">
        <is>
          <t>x</t>
        </is>
      </c>
      <c r="BD6" s="56" t="inlineStr">
        <is>
          <t>x</t>
        </is>
      </c>
      <c r="BE6" s="56" t="inlineStr">
        <is>
          <t>x</t>
        </is>
      </c>
      <c r="BF6" s="56" t="inlineStr">
        <is>
          <t>x</t>
        </is>
      </c>
      <c r="BG6" s="56" t="inlineStr">
        <is>
          <t>x</t>
        </is>
      </c>
      <c r="BH6" s="56" t="inlineStr">
        <is>
          <t>x</t>
        </is>
      </c>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EU6" s="30" t="n"/>
      <c r="EV6" s="30" t="n"/>
      <c r="EW6" s="30" t="n"/>
    </row>
    <row r="7" ht="15" customHeight="1">
      <c r="A7" s="46" t="inlineStr">
        <is>
          <t>Acciones y valores</t>
        </is>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4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inlineStr">
        <is>
          <t>x</t>
        </is>
      </c>
      <c r="BN7" s="56" t="inlineStr">
        <is>
          <t>x</t>
        </is>
      </c>
      <c r="BO7" s="56" t="inlineStr">
        <is>
          <t>x</t>
        </is>
      </c>
      <c r="BP7" s="56" t="inlineStr">
        <is>
          <t>x</t>
        </is>
      </c>
      <c r="BQ7" s="56" t="inlineStr">
        <is>
          <t>x</t>
        </is>
      </c>
      <c r="BR7" s="56" t="inlineStr">
        <is>
          <t>x</t>
        </is>
      </c>
      <c r="BS7" s="56" t="inlineStr">
        <is>
          <t>x</t>
        </is>
      </c>
      <c r="BT7" s="56" t="inlineStr">
        <is>
          <t>x</t>
        </is>
      </c>
      <c r="BU7" s="56" t="inlineStr">
        <is>
          <t>x</t>
        </is>
      </c>
      <c r="BV7" s="56" t="inlineStr">
        <is>
          <t>x</t>
        </is>
      </c>
      <c r="BW7" s="56" t="inlineStr">
        <is>
          <t>x</t>
        </is>
      </c>
      <c r="BX7" s="56" t="inlineStr">
        <is>
          <t>x</t>
        </is>
      </c>
      <c r="BY7" s="56" t="inlineStr">
        <is>
          <t>x</t>
        </is>
      </c>
      <c r="BZ7" s="56" t="inlineStr">
        <is>
          <t>x</t>
        </is>
      </c>
      <c r="CA7" s="56" t="inlineStr">
        <is>
          <t>x</t>
        </is>
      </c>
      <c r="CB7" s="56" t="inlineStr">
        <is>
          <t>x</t>
        </is>
      </c>
      <c r="EU7" s="30" t="n"/>
      <c r="EV7" s="30" t="n"/>
      <c r="EW7" s="30" t="n"/>
    </row>
    <row r="8" ht="15" customHeight="1">
      <c r="A8" s="48" t="inlineStr">
        <is>
          <t>Tipo de ingreso</t>
        </is>
      </c>
      <c r="B8" s="62" t="n"/>
      <c r="C8" s="62" t="n"/>
      <c r="D8" s="62" t="n"/>
      <c r="E8" s="62" t="n"/>
      <c r="F8" s="62" t="n"/>
      <c r="G8" s="62" t="n"/>
      <c r="H8" s="62" t="n"/>
      <c r="I8" s="62" t="n"/>
      <c r="J8" s="62" t="n"/>
      <c r="K8" s="62" t="n"/>
      <c r="L8" s="62" t="n"/>
      <c r="M8" s="62" t="n"/>
      <c r="N8" s="62" t="n"/>
      <c r="O8" s="62" t="n"/>
      <c r="P8" s="62" t="n"/>
      <c r="Q8" s="62" t="n"/>
      <c r="R8" s="62" t="n"/>
      <c r="S8" s="62" t="n"/>
      <c r="T8" s="62" t="n"/>
      <c r="U8" s="62" t="n"/>
      <c r="V8" s="62" t="n"/>
      <c r="W8" s="62" t="n"/>
      <c r="X8" s="62" t="n"/>
      <c r="Y8" s="62" t="n"/>
      <c r="Z8" s="62" t="n"/>
      <c r="AA8" s="62" t="n"/>
      <c r="AB8" s="62" t="n"/>
      <c r="AC8" s="62" t="n"/>
      <c r="AD8" s="62" t="n"/>
      <c r="AE8" s="62" t="n"/>
      <c r="AF8" s="62" t="n"/>
      <c r="AG8" s="62" t="n"/>
      <c r="AH8" s="62" t="n"/>
      <c r="AI8" s="62" t="n"/>
      <c r="AJ8" s="62" t="n"/>
      <c r="AK8" s="62" t="n"/>
      <c r="AL8" s="62" t="n"/>
      <c r="AM8" s="62" t="n"/>
      <c r="AN8" s="62" t="n"/>
      <c r="AO8" s="62" t="n"/>
      <c r="AP8" s="62" t="n"/>
      <c r="AQ8" s="62" t="n"/>
      <c r="AR8" s="62" t="n"/>
      <c r="AS8" s="62" t="n"/>
      <c r="AT8" s="62" t="n"/>
      <c r="AU8" s="62" t="n"/>
      <c r="AV8" s="62" t="n"/>
      <c r="AW8" s="62" t="n"/>
      <c r="AX8" s="62" t="n"/>
      <c r="AY8" s="62" t="n"/>
      <c r="AZ8" s="62" t="n"/>
      <c r="BA8" s="62" t="n"/>
      <c r="BB8" s="62" t="n"/>
      <c r="BC8" s="62" t="n"/>
      <c r="BD8" s="62" t="n"/>
      <c r="BE8" s="62" t="n"/>
      <c r="BF8" s="62" t="n"/>
      <c r="BG8" s="62" t="n"/>
      <c r="BH8" s="62" t="n"/>
      <c r="BI8" s="62" t="n"/>
      <c r="BJ8" s="62" t="n"/>
      <c r="BK8" s="62" t="n"/>
      <c r="BL8" s="62" t="n"/>
      <c r="BM8" s="62" t="n"/>
      <c r="BN8" s="62" t="n"/>
      <c r="BO8" s="62" t="n"/>
      <c r="BP8" s="62" t="n"/>
      <c r="BQ8" s="62" t="n"/>
      <c r="BR8" s="62" t="n"/>
      <c r="BS8" s="62" t="n"/>
      <c r="BT8" s="62" t="n"/>
      <c r="BU8" s="62" t="n"/>
      <c r="BV8" s="62" t="n"/>
      <c r="BW8" s="62" t="n"/>
      <c r="BX8" s="62" t="n"/>
      <c r="BY8" s="62" t="n"/>
      <c r="BZ8" s="62" t="n"/>
      <c r="CA8" s="62" t="n"/>
      <c r="CB8" s="62" t="n"/>
      <c r="EU8" s="30" t="n"/>
      <c r="EV8" s="30" t="n"/>
      <c r="EW8" s="30" t="n"/>
    </row>
    <row r="9" ht="15" customHeight="1">
      <c r="A9" s="46" t="inlineStr">
        <is>
          <t>Cliente</t>
        </is>
      </c>
      <c r="B9" s="56" t="inlineStr">
        <is>
          <t>x</t>
        </is>
      </c>
      <c r="C9" s="56" t="inlineStr">
        <is>
          <t>x</t>
        </is>
      </c>
      <c r="D9" s="56" t="n"/>
      <c r="E9" s="56" t="n"/>
      <c r="F9" s="56" t="n"/>
      <c r="G9" s="56" t="inlineStr">
        <is>
          <t>x</t>
        </is>
      </c>
      <c r="H9" s="56" t="inlineStr">
        <is>
          <t>x</t>
        </is>
      </c>
      <c r="I9" s="56" t="inlineStr">
        <is>
          <t>x</t>
        </is>
      </c>
      <c r="J9" s="56" t="inlineStr">
        <is>
          <t>x</t>
        </is>
      </c>
      <c r="K9" s="56" t="inlineStr">
        <is>
          <t>x</t>
        </is>
      </c>
      <c r="L9" s="56" t="inlineStr">
        <is>
          <t>x</t>
        </is>
      </c>
      <c r="M9" s="56" t="inlineStr">
        <is>
          <t>x</t>
        </is>
      </c>
      <c r="N9" s="56" t="inlineStr">
        <is>
          <t>x</t>
        </is>
      </c>
      <c r="O9" s="56" t="inlineStr">
        <is>
          <t>x</t>
        </is>
      </c>
      <c r="P9" s="56" t="inlineStr">
        <is>
          <t>x</t>
        </is>
      </c>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64" t="n"/>
      <c r="AR9" s="62" t="n"/>
      <c r="AS9" s="62" t="n"/>
      <c r="AT9" s="62" t="n"/>
      <c r="AU9" s="62" t="n"/>
      <c r="AV9" s="62" t="n"/>
      <c r="AW9" s="62" t="n"/>
      <c r="AX9" s="62" t="n"/>
      <c r="AY9" s="62" t="n"/>
      <c r="AZ9" s="62" t="n"/>
      <c r="BA9" s="62" t="n"/>
      <c r="BB9" s="62" t="n"/>
      <c r="BC9" s="62" t="n"/>
      <c r="BD9" s="62" t="n"/>
      <c r="BE9" s="62" t="n"/>
      <c r="BF9" s="62" t="n"/>
      <c r="BG9" s="62" t="n"/>
      <c r="BH9" s="62" t="n"/>
      <c r="BI9" s="62" t="n"/>
      <c r="BJ9" s="62" t="n"/>
      <c r="BK9" s="62" t="n"/>
      <c r="BL9" s="62" t="n"/>
      <c r="BM9" s="62" t="n"/>
      <c r="BN9" s="62" t="n"/>
      <c r="BO9" s="62" t="n"/>
      <c r="BP9" s="62" t="n"/>
      <c r="BQ9" s="62" t="n"/>
      <c r="BR9" s="62" t="n"/>
      <c r="BS9" s="62" t="n"/>
      <c r="BT9" s="62" t="n"/>
      <c r="BU9" s="62" t="n"/>
      <c r="BV9" s="62" t="n"/>
      <c r="BW9" s="62" t="n"/>
      <c r="BX9" s="62" t="n"/>
      <c r="BY9" s="62" t="n"/>
      <c r="BZ9" s="62" t="n"/>
      <c r="CA9" s="62" t="n"/>
      <c r="CB9" s="62" t="n"/>
      <c r="EU9" s="30" t="n"/>
      <c r="EV9" s="30" t="n"/>
      <c r="EW9" s="30" t="n"/>
    </row>
    <row r="10" ht="15" customHeight="1">
      <c r="A10" s="46" t="inlineStr">
        <is>
          <t>Persona</t>
        </is>
      </c>
      <c r="B10" s="56" t="n"/>
      <c r="C10" s="56" t="n"/>
      <c r="D10" s="56" t="n"/>
      <c r="E10" s="56" t="n"/>
      <c r="F10" s="56" t="n"/>
      <c r="G10" s="56" t="n"/>
      <c r="H10" s="56" t="n"/>
      <c r="I10" s="56" t="n"/>
      <c r="J10" s="56" t="n"/>
      <c r="K10" s="56" t="n"/>
      <c r="L10" s="56" t="n"/>
      <c r="M10" s="56" t="n"/>
      <c r="N10" s="56" t="n"/>
      <c r="O10" s="56" t="n"/>
      <c r="P10" s="56" t="n"/>
      <c r="Q10" s="56" t="n"/>
      <c r="R10" s="56" t="inlineStr">
        <is>
          <t>x</t>
        </is>
      </c>
      <c r="S10" s="56" t="inlineStr">
        <is>
          <t>x</t>
        </is>
      </c>
      <c r="T10" s="56" t="inlineStr">
        <is>
          <t>x</t>
        </is>
      </c>
      <c r="U10" s="56" t="inlineStr">
        <is>
          <t>x</t>
        </is>
      </c>
      <c r="V10" s="56" t="inlineStr">
        <is>
          <t>x</t>
        </is>
      </c>
      <c r="W10" s="56" t="inlineStr">
        <is>
          <t>x</t>
        </is>
      </c>
      <c r="X10" s="56" t="inlineStr">
        <is>
          <t>x</t>
        </is>
      </c>
      <c r="Y10" s="56" t="inlineStr">
        <is>
          <t>x</t>
        </is>
      </c>
      <c r="Z10" s="56" t="inlineStr">
        <is>
          <t>x</t>
        </is>
      </c>
      <c r="AA10" s="56" t="n"/>
      <c r="AB10" s="56" t="n"/>
      <c r="AC10" s="56" t="inlineStr">
        <is>
          <t>x</t>
        </is>
      </c>
      <c r="AD10" s="56" t="inlineStr">
        <is>
          <t>x</t>
        </is>
      </c>
      <c r="AE10" s="56" t="inlineStr">
        <is>
          <t>x</t>
        </is>
      </c>
      <c r="AF10" s="56" t="inlineStr">
        <is>
          <t>x</t>
        </is>
      </c>
      <c r="AG10" s="56" t="inlineStr">
        <is>
          <t>x</t>
        </is>
      </c>
      <c r="AH10" s="56" t="inlineStr">
        <is>
          <t>x</t>
        </is>
      </c>
      <c r="AI10" s="56" t="inlineStr">
        <is>
          <t>x</t>
        </is>
      </c>
      <c r="AJ10" s="56" t="inlineStr">
        <is>
          <t>x</t>
        </is>
      </c>
      <c r="AK10" s="56" t="inlineStr">
        <is>
          <t>x</t>
        </is>
      </c>
      <c r="AL10" s="56" t="inlineStr">
        <is>
          <t>x</t>
        </is>
      </c>
      <c r="AM10" s="56" t="n"/>
      <c r="AN10" s="56" t="n"/>
      <c r="AO10" s="56" t="n"/>
      <c r="AP10" s="56" t="n"/>
      <c r="AQ10" s="64" t="n"/>
      <c r="AR10" s="62" t="n"/>
      <c r="AS10" s="62" t="n"/>
      <c r="AT10" s="62" t="n"/>
      <c r="AU10" s="62" t="n"/>
      <c r="AV10" s="62" t="n"/>
      <c r="AW10" s="62" t="n"/>
      <c r="AX10" s="62" t="n"/>
      <c r="AY10" s="62" t="n"/>
      <c r="AZ10" s="62" t="n"/>
      <c r="BA10" s="62" t="n"/>
      <c r="BB10" s="62" t="n"/>
      <c r="BC10" s="62" t="n"/>
      <c r="BD10" s="62" t="n"/>
      <c r="BE10" s="62" t="n"/>
      <c r="BF10" s="62" t="n"/>
      <c r="BG10" s="62" t="n"/>
      <c r="BH10" s="62" t="n"/>
      <c r="BI10" s="62" t="n"/>
      <c r="BJ10" s="62" t="n"/>
      <c r="BK10" s="62" t="n"/>
      <c r="BL10" s="62" t="n"/>
      <c r="BM10" s="62" t="n"/>
      <c r="BN10" s="62" t="n"/>
      <c r="BO10" s="62" t="n"/>
      <c r="BP10" s="62" t="n"/>
      <c r="BQ10" s="62" t="n"/>
      <c r="BR10" s="62" t="n"/>
      <c r="BS10" s="62" t="n"/>
      <c r="BT10" s="62" t="n"/>
      <c r="BU10" s="62" t="n"/>
      <c r="BV10" s="62" t="n"/>
      <c r="BW10" s="62" t="n"/>
      <c r="BX10" s="62" t="n"/>
      <c r="BY10" s="62" t="n"/>
      <c r="BZ10" s="62" t="n"/>
      <c r="CA10" s="62" t="n"/>
      <c r="CB10" s="62" t="n"/>
      <c r="EU10" s="30" t="n"/>
      <c r="EV10" s="30" t="n"/>
      <c r="EW10" s="30" t="n"/>
    </row>
    <row r="11" ht="15" customHeight="1">
      <c r="A11" s="48" t="inlineStr">
        <is>
          <t>País</t>
        </is>
      </c>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c r="AB11" s="62" t="n"/>
      <c r="AC11" s="62" t="n"/>
      <c r="AD11" s="62" t="n"/>
      <c r="AE11" s="62" t="n"/>
      <c r="AF11" s="62" t="n"/>
      <c r="AG11" s="62" t="n"/>
      <c r="AH11" s="62" t="n"/>
      <c r="AI11" s="62" t="n"/>
      <c r="AJ11" s="62" t="n"/>
      <c r="AK11" s="62" t="n"/>
      <c r="AL11" s="62" t="n"/>
      <c r="AM11" s="62" t="n"/>
      <c r="AN11" s="62" t="n"/>
      <c r="AO11" s="62" t="n"/>
      <c r="AP11" s="62" t="n"/>
      <c r="AQ11" s="64" t="n"/>
      <c r="AR11" s="62" t="n"/>
      <c r="AS11" s="62" t="n"/>
      <c r="AT11" s="62" t="n"/>
      <c r="AU11" s="62" t="n"/>
      <c r="AV11" s="62" t="n"/>
      <c r="AW11" s="62" t="n"/>
      <c r="AX11" s="62" t="n"/>
      <c r="AY11" s="62" t="n"/>
      <c r="AZ11" s="62" t="n"/>
      <c r="BA11" s="62" t="n"/>
      <c r="BB11" s="62" t="n"/>
      <c r="BC11" s="62" t="n"/>
      <c r="BD11" s="62" t="n"/>
      <c r="BE11" s="62" t="n"/>
      <c r="BF11" s="62" t="n"/>
      <c r="BG11" s="62" t="n"/>
      <c r="BH11" s="62" t="n"/>
      <c r="BI11" s="62" t="n"/>
      <c r="BJ11" s="62" t="n"/>
      <c r="BK11" s="62" t="n"/>
      <c r="BL11" s="62" t="n"/>
      <c r="BM11" s="62" t="n"/>
      <c r="BN11" s="62" t="n"/>
      <c r="BO11" s="62" t="n"/>
      <c r="BP11" s="62" t="n"/>
      <c r="BQ11" s="62" t="n"/>
      <c r="BR11" s="62" t="n"/>
      <c r="BS11" s="62" t="n"/>
      <c r="BT11" s="62" t="n"/>
      <c r="BU11" s="62" t="n"/>
      <c r="BV11" s="62" t="n"/>
      <c r="BW11" s="62" t="n"/>
      <c r="BX11" s="62" t="n"/>
      <c r="BY11" s="62" t="n"/>
      <c r="BZ11" s="62" t="n"/>
      <c r="CA11" s="62" t="n"/>
      <c r="CB11" s="62" t="n"/>
      <c r="EU11" s="30" t="n"/>
      <c r="EV11" s="30" t="n"/>
      <c r="EW11" s="30" t="n"/>
    </row>
    <row r="12" ht="15" customHeight="1">
      <c r="A12" s="46" t="inlineStr">
        <is>
          <t>Seleccionar opción</t>
        </is>
      </c>
      <c r="B12" s="62" t="n"/>
      <c r="C12" s="62" t="n"/>
      <c r="D12" s="62" t="n"/>
      <c r="E12" s="62" t="n"/>
      <c r="F12" s="62" t="n"/>
      <c r="G12" s="62" t="n"/>
      <c r="H12" s="62" t="n"/>
      <c r="I12" s="62" t="n"/>
      <c r="J12" s="62" t="n"/>
      <c r="K12" s="62" t="n"/>
      <c r="L12" s="62" t="n"/>
      <c r="M12" s="62" t="n"/>
      <c r="N12" s="62" t="n"/>
      <c r="O12" s="62" t="n"/>
      <c r="P12" s="62" t="n"/>
      <c r="Q12" s="62" t="n"/>
      <c r="R12" s="56" t="inlineStr">
        <is>
          <t>x</t>
        </is>
      </c>
      <c r="S12" s="56" t="inlineStr">
        <is>
          <t>x</t>
        </is>
      </c>
      <c r="T12" s="56" t="inlineStr">
        <is>
          <t>x</t>
        </is>
      </c>
      <c r="U12" s="56" t="inlineStr">
        <is>
          <t>x</t>
        </is>
      </c>
      <c r="V12" s="56" t="inlineStr">
        <is>
          <t>x</t>
        </is>
      </c>
      <c r="W12" s="56" t="inlineStr">
        <is>
          <t>x</t>
        </is>
      </c>
      <c r="X12" s="56" t="inlineStr">
        <is>
          <t>x</t>
        </is>
      </c>
      <c r="Y12" s="56" t="inlineStr">
        <is>
          <t>x</t>
        </is>
      </c>
      <c r="Z12" s="56" t="n"/>
      <c r="AA12" s="56" t="n"/>
      <c r="AB12" s="56" t="n"/>
      <c r="AC12" s="56" t="inlineStr">
        <is>
          <t>x</t>
        </is>
      </c>
      <c r="AD12" s="56" t="inlineStr">
        <is>
          <t>x</t>
        </is>
      </c>
      <c r="AE12" s="56" t="inlineStr">
        <is>
          <t>x</t>
        </is>
      </c>
      <c r="AF12" s="56" t="inlineStr">
        <is>
          <t>x</t>
        </is>
      </c>
      <c r="AG12" s="56" t="inlineStr">
        <is>
          <t>x</t>
        </is>
      </c>
      <c r="AH12" s="56" t="inlineStr">
        <is>
          <t>x</t>
        </is>
      </c>
      <c r="AI12" s="56" t="inlineStr">
        <is>
          <t>x</t>
        </is>
      </c>
      <c r="AJ12" s="56" t="inlineStr">
        <is>
          <t>x</t>
        </is>
      </c>
      <c r="AK12" s="56" t="inlineStr">
        <is>
          <t>x</t>
        </is>
      </c>
      <c r="AL12" s="56" t="inlineStr">
        <is>
          <t>x</t>
        </is>
      </c>
      <c r="AM12" s="62" t="n"/>
      <c r="AN12" s="62" t="n"/>
      <c r="AO12" s="62" t="n"/>
      <c r="AP12" s="62" t="n"/>
      <c r="AQ12" s="64" t="n"/>
      <c r="AR12" s="62" t="n"/>
      <c r="AS12" s="62" t="n"/>
      <c r="AT12" s="62" t="n"/>
      <c r="AU12" s="62" t="n"/>
      <c r="AV12" s="62" t="n"/>
      <c r="AW12" s="62" t="n"/>
      <c r="AX12" s="62" t="n"/>
      <c r="AY12" s="62" t="n"/>
      <c r="AZ12" s="62" t="n"/>
      <c r="BA12" s="62" t="n"/>
      <c r="BB12" s="62" t="n"/>
      <c r="BC12" s="62" t="n"/>
      <c r="BD12" s="62" t="n"/>
      <c r="BE12" s="62" t="n"/>
      <c r="BF12" s="62" t="n"/>
      <c r="BG12" s="62" t="n"/>
      <c r="BH12" s="62" t="n"/>
      <c r="BI12" s="62" t="n"/>
      <c r="BJ12" s="62" t="n"/>
      <c r="BK12" s="62" t="n"/>
      <c r="BL12" s="62" t="n"/>
      <c r="BM12" s="62" t="n"/>
      <c r="BN12" s="62" t="n"/>
      <c r="BO12" s="62" t="n"/>
      <c r="BP12" s="62" t="n"/>
      <c r="BQ12" s="62" t="n"/>
      <c r="BR12" s="62" t="n"/>
      <c r="BS12" s="62" t="n"/>
      <c r="BT12" s="62" t="n"/>
      <c r="BU12" s="62" t="n"/>
      <c r="BV12" s="62" t="n"/>
      <c r="BW12" s="62" t="n"/>
      <c r="BX12" s="62" t="n"/>
      <c r="BY12" s="62" t="n"/>
      <c r="BZ12" s="62" t="n"/>
      <c r="CA12" s="62" t="n"/>
      <c r="CB12" s="62" t="n"/>
      <c r="EU12" s="30" t="n"/>
      <c r="EV12" s="30" t="n"/>
      <c r="EW12" s="30" t="n"/>
    </row>
    <row r="13" ht="15" customHeight="1">
      <c r="A13" s="46" t="inlineStr">
        <is>
          <t>No seleccionar opción</t>
        </is>
      </c>
      <c r="B13" s="62" t="n"/>
      <c r="C13" s="62" t="n"/>
      <c r="D13" s="62" t="n"/>
      <c r="E13" s="62" t="n"/>
      <c r="F13" s="62" t="n"/>
      <c r="G13" s="62" t="n"/>
      <c r="H13" s="62" t="n"/>
      <c r="I13" s="62" t="n"/>
      <c r="J13" s="62" t="n"/>
      <c r="K13" s="62" t="n"/>
      <c r="L13" s="62" t="n"/>
      <c r="M13" s="62" t="n"/>
      <c r="N13" s="62" t="n"/>
      <c r="O13" s="62" t="n"/>
      <c r="P13" s="62" t="n"/>
      <c r="Q13" s="62" t="n"/>
      <c r="R13" s="56" t="n"/>
      <c r="S13" s="56" t="n"/>
      <c r="T13" s="56" t="n"/>
      <c r="U13" s="56" t="n"/>
      <c r="V13" s="56" t="n"/>
      <c r="W13" s="56" t="n"/>
      <c r="X13" s="56" t="n"/>
      <c r="Y13" s="56" t="n"/>
      <c r="Z13" s="56" t="inlineStr">
        <is>
          <t>x</t>
        </is>
      </c>
      <c r="AA13" s="56" t="n"/>
      <c r="AB13" s="56" t="n"/>
      <c r="AC13" s="56" t="n"/>
      <c r="AD13" s="56" t="n"/>
      <c r="AE13" s="56" t="n"/>
      <c r="AF13" s="56" t="n"/>
      <c r="AG13" s="56" t="n"/>
      <c r="AH13" s="56" t="n"/>
      <c r="AI13" s="56" t="n"/>
      <c r="AJ13" s="56" t="n"/>
      <c r="AK13" s="56" t="n"/>
      <c r="AL13" s="56" t="n"/>
      <c r="AM13" s="62" t="n"/>
      <c r="AN13" s="62" t="n"/>
      <c r="AO13" s="62" t="n"/>
      <c r="AP13" s="62" t="n"/>
      <c r="AQ13" s="64" t="n"/>
      <c r="AR13" s="62" t="n"/>
      <c r="AS13" s="62" t="n"/>
      <c r="AT13" s="62" t="n"/>
      <c r="AU13" s="62" t="n"/>
      <c r="AV13" s="62" t="n"/>
      <c r="AW13" s="62" t="n"/>
      <c r="AX13" s="62" t="n"/>
      <c r="AY13" s="62" t="n"/>
      <c r="AZ13" s="62" t="n"/>
      <c r="BA13" s="62" t="n"/>
      <c r="BB13" s="62" t="n"/>
      <c r="BC13" s="62" t="n"/>
      <c r="BD13" s="62" t="n"/>
      <c r="BE13" s="62" t="n"/>
      <c r="BF13" s="62" t="n"/>
      <c r="BG13" s="62" t="n"/>
      <c r="BH13" s="62" t="n"/>
      <c r="BI13" s="62" t="n"/>
      <c r="BJ13" s="62" t="n"/>
      <c r="BK13" s="62" t="n"/>
      <c r="BL13" s="62" t="n"/>
      <c r="BM13" s="62" t="n"/>
      <c r="BN13" s="62" t="n"/>
      <c r="BO13" s="62" t="n"/>
      <c r="BP13" s="62" t="n"/>
      <c r="BQ13" s="62" t="n"/>
      <c r="BR13" s="62" t="n"/>
      <c r="BS13" s="62" t="n"/>
      <c r="BT13" s="62" t="n"/>
      <c r="BU13" s="62" t="n"/>
      <c r="BV13" s="62" t="n"/>
      <c r="BW13" s="62" t="n"/>
      <c r="BX13" s="62" t="n"/>
      <c r="BY13" s="62" t="n"/>
      <c r="BZ13" s="62" t="n"/>
      <c r="CA13" s="62" t="n"/>
      <c r="CB13" s="62" t="n"/>
      <c r="EU13" s="30" t="n"/>
      <c r="EV13" s="30" t="n"/>
      <c r="EW13" s="30" t="n"/>
    </row>
    <row r="14" ht="15" customHeight="1">
      <c r="A14" s="47" t="inlineStr">
        <is>
          <t>Tipo de documento</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EU14" s="30" t="n"/>
      <c r="EV14" s="30" t="n"/>
      <c r="EW14" s="30" t="n"/>
    </row>
    <row r="15" ht="15" customHeight="1">
      <c r="A15" s="52" t="inlineStr">
        <is>
          <t>Cédula de ciudadanía</t>
        </is>
      </c>
      <c r="B15" s="62" t="n"/>
      <c r="C15" s="62" t="n"/>
      <c r="D15" s="62" t="n"/>
      <c r="E15" s="62" t="n"/>
      <c r="F15" s="62" t="n"/>
      <c r="G15" s="62" t="n"/>
      <c r="H15" s="62" t="n"/>
      <c r="I15" s="62" t="n"/>
      <c r="J15" s="62" t="n"/>
      <c r="K15" s="62" t="n"/>
      <c r="L15" s="62" t="n"/>
      <c r="M15" s="62" t="n"/>
      <c r="N15" s="62" t="n"/>
      <c r="O15" s="62" t="n"/>
      <c r="P15" s="62" t="n"/>
      <c r="Q15" s="62" t="n"/>
      <c r="R15" s="56" t="inlineStr">
        <is>
          <t>x</t>
        </is>
      </c>
      <c r="S15" s="56" t="inlineStr">
        <is>
          <t>x</t>
        </is>
      </c>
      <c r="T15" s="56" t="inlineStr">
        <is>
          <t>x</t>
        </is>
      </c>
      <c r="U15" s="56" t="inlineStr">
        <is>
          <t>x</t>
        </is>
      </c>
      <c r="V15" s="56" t="inlineStr">
        <is>
          <t>x</t>
        </is>
      </c>
      <c r="W15" s="56" t="inlineStr">
        <is>
          <t>x</t>
        </is>
      </c>
      <c r="X15" s="56" t="inlineStr">
        <is>
          <t>x</t>
        </is>
      </c>
      <c r="Y15" s="56" t="inlineStr">
        <is>
          <t>x</t>
        </is>
      </c>
      <c r="Z15" s="56" t="inlineStr">
        <is>
          <t>x</t>
        </is>
      </c>
      <c r="AA15" s="56" t="n"/>
      <c r="AB15" s="56" t="n"/>
      <c r="AC15" s="56" t="n"/>
      <c r="AD15" s="56" t="n"/>
      <c r="AE15" s="56" t="n"/>
      <c r="AF15" s="56" t="n"/>
      <c r="AG15" s="56" t="n"/>
      <c r="AH15" s="56" t="n"/>
      <c r="AI15" s="56" t="n"/>
      <c r="AJ15" s="56" t="n"/>
      <c r="AK15" s="56" t="n"/>
      <c r="AL15" s="56" t="n"/>
      <c r="AM15" s="56" t="n"/>
      <c r="AN15" s="56" t="n"/>
      <c r="AO15" s="56" t="n"/>
      <c r="AP15" s="56" t="n"/>
      <c r="AQ15" s="56" t="n"/>
      <c r="AR15" s="56" t="inlineStr">
        <is>
          <t>x</t>
        </is>
      </c>
      <c r="AS15" s="56" t="inlineStr">
        <is>
          <t>x</t>
        </is>
      </c>
      <c r="AT15" s="56" t="inlineStr">
        <is>
          <t>x</t>
        </is>
      </c>
      <c r="AU15" s="56" t="inlineStr">
        <is>
          <t>x</t>
        </is>
      </c>
      <c r="AV15" s="56" t="inlineStr">
        <is>
          <t>x</t>
        </is>
      </c>
      <c r="AW15" s="56" t="n"/>
      <c r="AX15" s="56" t="n"/>
      <c r="AY15" s="56" t="n"/>
      <c r="AZ15" s="56" t="n"/>
      <c r="BA15" s="56" t="n"/>
      <c r="BB15" s="56" t="n"/>
      <c r="BC15" s="56" t="n"/>
      <c r="BD15" s="56" t="n"/>
      <c r="BE15" s="56" t="inlineStr">
        <is>
          <t>x</t>
        </is>
      </c>
      <c r="BF15" s="56" t="n"/>
      <c r="BG15" s="56" t="n"/>
      <c r="BH15" s="56" t="inlineStr">
        <is>
          <t>x</t>
        </is>
      </c>
      <c r="BI15" s="56" t="n"/>
      <c r="BJ15" s="56" t="n"/>
      <c r="BK15" s="56" t="n"/>
      <c r="BL15" s="56" t="n"/>
      <c r="BM15" s="56" t="inlineStr">
        <is>
          <t>x</t>
        </is>
      </c>
      <c r="BN15" s="56" t="inlineStr">
        <is>
          <t>x</t>
        </is>
      </c>
      <c r="BO15" s="56" t="inlineStr">
        <is>
          <t>x</t>
        </is>
      </c>
      <c r="BP15" s="56" t="inlineStr">
        <is>
          <t>x</t>
        </is>
      </c>
      <c r="BQ15" s="56" t="n"/>
      <c r="BR15" s="56" t="n"/>
      <c r="BS15" s="56" t="n"/>
      <c r="BT15" s="56" t="n"/>
      <c r="BU15" s="56" t="n"/>
      <c r="BV15" s="56" t="n"/>
      <c r="BW15" s="56" t="n"/>
      <c r="BX15" s="56" t="n"/>
      <c r="BY15" s="56" t="inlineStr">
        <is>
          <t>x</t>
        </is>
      </c>
      <c r="BZ15" s="56" t="n"/>
      <c r="CA15" s="56" t="n"/>
      <c r="CB15" s="56" t="inlineStr">
        <is>
          <t>x</t>
        </is>
      </c>
      <c r="EU15" s="30" t="n"/>
      <c r="EV15" s="30" t="n"/>
      <c r="EW15" s="30" t="n"/>
    </row>
    <row r="16" ht="15" customHeight="1">
      <c r="A16" s="52" t="inlineStr">
        <is>
          <t>Cédula de extrangería</t>
        </is>
      </c>
      <c r="B16" s="62" t="n"/>
      <c r="C16" s="62" t="n"/>
      <c r="D16" s="62" t="n"/>
      <c r="E16" s="62" t="n"/>
      <c r="F16" s="62" t="n"/>
      <c r="G16" s="62" t="n"/>
      <c r="H16" s="62" t="n"/>
      <c r="I16" s="62" t="n"/>
      <c r="J16" s="62" t="n"/>
      <c r="K16" s="62" t="n"/>
      <c r="L16" s="62" t="n"/>
      <c r="M16" s="62" t="n"/>
      <c r="N16" s="62" t="n"/>
      <c r="O16" s="62" t="n"/>
      <c r="P16" s="62" t="n"/>
      <c r="Q16" s="62" t="n"/>
      <c r="R16" s="56" t="n"/>
      <c r="S16" s="56" t="n"/>
      <c r="T16" s="56" t="n"/>
      <c r="U16" s="56" t="n"/>
      <c r="V16" s="56" t="n"/>
      <c r="W16" s="56" t="n"/>
      <c r="X16" s="56" t="n"/>
      <c r="Y16" s="56" t="n"/>
      <c r="Z16" s="56" t="n"/>
      <c r="AA16" s="56" t="n"/>
      <c r="AB16" s="56" t="n"/>
      <c r="AC16" s="56" t="inlineStr">
        <is>
          <t>x</t>
        </is>
      </c>
      <c r="AD16" s="56" t="inlineStr">
        <is>
          <t>x</t>
        </is>
      </c>
      <c r="AE16" s="56" t="inlineStr">
        <is>
          <t>x</t>
        </is>
      </c>
      <c r="AF16" s="56" t="inlineStr">
        <is>
          <t>x</t>
        </is>
      </c>
      <c r="AG16" s="56" t="inlineStr">
        <is>
          <t>x</t>
        </is>
      </c>
      <c r="AH16" s="56" t="n"/>
      <c r="AI16" s="56" t="n"/>
      <c r="AJ16" s="56" t="n"/>
      <c r="AK16" s="56" t="n"/>
      <c r="AL16" s="56" t="n"/>
      <c r="AM16" s="56" t="n"/>
      <c r="AN16" s="56" t="n"/>
      <c r="AO16" s="56" t="n"/>
      <c r="AP16" s="56" t="n"/>
      <c r="AQ16" s="56" t="n"/>
      <c r="AR16" s="56" t="n"/>
      <c r="AS16" s="56" t="n"/>
      <c r="AT16" s="56" t="n"/>
      <c r="AU16" s="56" t="n"/>
      <c r="AV16" s="56" t="n"/>
      <c r="AW16" s="56" t="inlineStr">
        <is>
          <t>x</t>
        </is>
      </c>
      <c r="AX16" s="56" t="inlineStr">
        <is>
          <t>x</t>
        </is>
      </c>
      <c r="AY16" s="56" t="inlineStr">
        <is>
          <t>x</t>
        </is>
      </c>
      <c r="AZ16" s="56" t="inlineStr">
        <is>
          <t>x</t>
        </is>
      </c>
      <c r="BA16" s="56" t="n"/>
      <c r="BB16" s="56" t="n"/>
      <c r="BC16" s="56" t="n"/>
      <c r="BD16" s="56" t="n"/>
      <c r="BE16" s="56" t="n"/>
      <c r="BF16" s="56" t="inlineStr">
        <is>
          <t>x</t>
        </is>
      </c>
      <c r="BG16" s="56" t="n"/>
      <c r="BH16" s="56" t="n"/>
      <c r="BI16" s="56" t="n"/>
      <c r="BJ16" s="56" t="n"/>
      <c r="BK16" s="56" t="n"/>
      <c r="BL16" s="56" t="n"/>
      <c r="BM16" s="56" t="n"/>
      <c r="BN16" s="56" t="n"/>
      <c r="BO16" s="56" t="n"/>
      <c r="BP16" s="56" t="n"/>
      <c r="BQ16" s="56" t="inlineStr">
        <is>
          <t>x</t>
        </is>
      </c>
      <c r="BR16" s="56" t="inlineStr">
        <is>
          <t>x</t>
        </is>
      </c>
      <c r="BS16" s="56" t="inlineStr">
        <is>
          <t>x</t>
        </is>
      </c>
      <c r="BT16" s="56" t="inlineStr">
        <is>
          <t>x</t>
        </is>
      </c>
      <c r="BU16" s="56" t="n"/>
      <c r="BV16" s="56" t="n"/>
      <c r="BW16" s="56" t="n"/>
      <c r="BX16" s="56" t="n"/>
      <c r="BY16" s="56" t="n"/>
      <c r="BZ16" s="56" t="inlineStr">
        <is>
          <t>x</t>
        </is>
      </c>
      <c r="CA16" s="56" t="n"/>
      <c r="CB16" s="56" t="n"/>
      <c r="EU16" s="30" t="n"/>
      <c r="EV16" s="30" t="n"/>
      <c r="EW16" s="30" t="n"/>
    </row>
    <row r="17" ht="15" customHeight="1">
      <c r="A17" s="52" t="inlineStr">
        <is>
          <t>Permiso de protección temporal</t>
        </is>
      </c>
      <c r="B17" s="62" t="n"/>
      <c r="C17" s="62" t="n"/>
      <c r="D17" s="62" t="n"/>
      <c r="E17" s="62" t="n"/>
      <c r="F17" s="62" t="n"/>
      <c r="G17" s="62" t="n"/>
      <c r="H17" s="62" t="n"/>
      <c r="I17" s="62" t="n"/>
      <c r="J17" s="62" t="n"/>
      <c r="K17" s="62" t="n"/>
      <c r="L17" s="62" t="n"/>
      <c r="M17" s="62" t="n"/>
      <c r="N17" s="62" t="n"/>
      <c r="O17" s="62" t="n"/>
      <c r="P17" s="62" t="n"/>
      <c r="Q17" s="62" t="n"/>
      <c r="R17" s="56" t="n"/>
      <c r="S17" s="56" t="n"/>
      <c r="T17" s="56" t="n"/>
      <c r="U17" s="56" t="n"/>
      <c r="V17" s="56" t="n"/>
      <c r="W17" s="56" t="n"/>
      <c r="X17" s="56" t="n"/>
      <c r="Y17" s="56" t="n"/>
      <c r="Z17" s="56" t="n"/>
      <c r="AA17" s="56" t="n"/>
      <c r="AB17" s="56" t="n"/>
      <c r="AC17" s="56" t="n"/>
      <c r="AD17" s="56" t="n"/>
      <c r="AE17" s="56" t="n"/>
      <c r="AF17" s="56" t="n"/>
      <c r="AG17" s="56" t="n"/>
      <c r="AH17" s="56" t="inlineStr">
        <is>
          <t>x</t>
        </is>
      </c>
      <c r="AI17" s="56" t="inlineStr">
        <is>
          <t>x</t>
        </is>
      </c>
      <c r="AJ17" s="56" t="inlineStr">
        <is>
          <t>x</t>
        </is>
      </c>
      <c r="AK17" s="56" t="inlineStr">
        <is>
          <t>x</t>
        </is>
      </c>
      <c r="AL17" s="56" t="inlineStr">
        <is>
          <t>x</t>
        </is>
      </c>
      <c r="AM17" s="56" t="n"/>
      <c r="AN17" s="56" t="n"/>
      <c r="AO17" s="56" t="n"/>
      <c r="AP17" s="56" t="n"/>
      <c r="AQ17" s="56" t="n"/>
      <c r="AR17" s="56" t="n"/>
      <c r="AS17" s="56" t="n"/>
      <c r="AT17" s="56" t="n"/>
      <c r="AU17" s="56" t="n"/>
      <c r="AV17" s="56" t="n"/>
      <c r="AW17" s="56" t="n"/>
      <c r="AX17" s="56" t="n"/>
      <c r="AY17" s="56" t="n"/>
      <c r="AZ17" s="56" t="n"/>
      <c r="BA17" s="56" t="inlineStr">
        <is>
          <t>x</t>
        </is>
      </c>
      <c r="BB17" s="56" t="inlineStr">
        <is>
          <t>x</t>
        </is>
      </c>
      <c r="BC17" s="56" t="inlineStr">
        <is>
          <t>x</t>
        </is>
      </c>
      <c r="BD17" s="56" t="inlineStr">
        <is>
          <t>x</t>
        </is>
      </c>
      <c r="BE17" s="56" t="n"/>
      <c r="BF17" s="56" t="n"/>
      <c r="BG17" s="56" t="inlineStr">
        <is>
          <t>x</t>
        </is>
      </c>
      <c r="BH17" s="56" t="n"/>
      <c r="BI17" s="56" t="n"/>
      <c r="BJ17" s="56" t="n"/>
      <c r="BK17" s="56" t="n"/>
      <c r="BL17" s="56" t="n"/>
      <c r="BM17" s="56" t="n"/>
      <c r="BN17" s="56" t="n"/>
      <c r="BO17" s="56" t="n"/>
      <c r="BP17" s="56" t="n"/>
      <c r="BQ17" s="56" t="n"/>
      <c r="BR17" s="56" t="n"/>
      <c r="BS17" s="56" t="n"/>
      <c r="BT17" s="56" t="n"/>
      <c r="BU17" s="56" t="inlineStr">
        <is>
          <t>x</t>
        </is>
      </c>
      <c r="BV17" s="56" t="inlineStr">
        <is>
          <t>x</t>
        </is>
      </c>
      <c r="BW17" s="56" t="inlineStr">
        <is>
          <t>x</t>
        </is>
      </c>
      <c r="BX17" s="56" t="inlineStr">
        <is>
          <t>x</t>
        </is>
      </c>
      <c r="BY17" s="56" t="n"/>
      <c r="BZ17" s="56" t="n"/>
      <c r="CA17" s="56" t="inlineStr">
        <is>
          <t>x</t>
        </is>
      </c>
      <c r="CB17" s="56" t="n"/>
      <c r="EU17" s="30" t="n"/>
      <c r="EV17" s="30" t="n"/>
      <c r="EW17" s="30" t="n"/>
    </row>
    <row r="18" ht="15" customHeight="1">
      <c r="A18" s="47" t="inlineStr">
        <is>
          <t>Número de documento</t>
        </is>
      </c>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EU18" s="30" t="n"/>
      <c r="EV18" s="30" t="n"/>
      <c r="EW18" s="30" t="n"/>
    </row>
    <row r="19" hidden="1" ht="15" customHeight="1">
      <c r="A19" s="52" t="inlineStr">
        <is>
          <t>Perteneciente a un cliente</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inlineStr">
        <is>
          <t>x</t>
        </is>
      </c>
      <c r="AS19" s="56" t="n"/>
      <c r="AT19" s="56" t="inlineStr">
        <is>
          <t>x</t>
        </is>
      </c>
      <c r="AU19" s="56" t="n"/>
      <c r="AV19" s="56" t="n"/>
      <c r="AW19" s="56" t="inlineStr">
        <is>
          <t>x</t>
        </is>
      </c>
      <c r="AX19" s="56" t="n"/>
      <c r="AY19" s="56" t="inlineStr">
        <is>
          <t>x</t>
        </is>
      </c>
      <c r="AZ19" s="56" t="n"/>
      <c r="BA19" s="56" t="inlineStr">
        <is>
          <t>x</t>
        </is>
      </c>
      <c r="BB19" s="56" t="n"/>
      <c r="BC19" s="56" t="inlineStr">
        <is>
          <t>x</t>
        </is>
      </c>
      <c r="BD19" s="56" t="n"/>
      <c r="BE19" s="56" t="inlineStr">
        <is>
          <t>x</t>
        </is>
      </c>
      <c r="BF19" s="56" t="inlineStr">
        <is>
          <t>x</t>
        </is>
      </c>
      <c r="BG19" s="56" t="inlineStr">
        <is>
          <t>x</t>
        </is>
      </c>
      <c r="BH19" s="56" t="inlineStr">
        <is>
          <t>x</t>
        </is>
      </c>
      <c r="BI19" s="56" t="n"/>
      <c r="BJ19" s="56" t="n"/>
      <c r="BK19" s="56" t="n"/>
      <c r="BL19" s="56" t="n"/>
      <c r="BM19" s="56" t="inlineStr">
        <is>
          <t>x</t>
        </is>
      </c>
      <c r="BN19" s="56" t="n"/>
      <c r="BO19" s="56" t="n"/>
      <c r="BP19" s="56" t="inlineStr">
        <is>
          <t>x</t>
        </is>
      </c>
      <c r="BQ19" s="56" t="inlineStr">
        <is>
          <t>x</t>
        </is>
      </c>
      <c r="BR19" s="56" t="n"/>
      <c r="BS19" s="56" t="n"/>
      <c r="BT19" s="56" t="inlineStr">
        <is>
          <t>x</t>
        </is>
      </c>
      <c r="BU19" s="56" t="inlineStr">
        <is>
          <t>x</t>
        </is>
      </c>
      <c r="BV19" s="56" t="n"/>
      <c r="BW19" s="56" t="n"/>
      <c r="BX19" s="56" t="inlineStr">
        <is>
          <t>x</t>
        </is>
      </c>
      <c r="BY19" s="56" t="inlineStr">
        <is>
          <t>x</t>
        </is>
      </c>
      <c r="BZ19" s="56" t="inlineStr">
        <is>
          <t>x</t>
        </is>
      </c>
      <c r="CA19" s="56" t="inlineStr">
        <is>
          <t>x</t>
        </is>
      </c>
      <c r="CB19" s="56" t="inlineStr">
        <is>
          <t>x</t>
        </is>
      </c>
      <c r="EU19" s="30" t="n"/>
      <c r="EV19" s="30" t="n"/>
      <c r="EW19" s="30" t="n"/>
    </row>
    <row r="20" ht="15" customHeight="1">
      <c r="A20" s="52" t="inlineStr">
        <is>
          <t>No perteneciente a un cliente</t>
        </is>
      </c>
      <c r="B20" s="62" t="n"/>
      <c r="C20" s="62" t="n"/>
      <c r="D20" s="62" t="n"/>
      <c r="E20" s="62" t="n"/>
      <c r="F20" s="62" t="n"/>
      <c r="G20" s="62" t="n"/>
      <c r="H20" s="62" t="n"/>
      <c r="I20" s="62" t="n"/>
      <c r="J20" s="62" t="n"/>
      <c r="K20" s="62" t="n"/>
      <c r="L20" s="62" t="n"/>
      <c r="M20" s="62" t="n"/>
      <c r="N20" s="62" t="n"/>
      <c r="O20" s="62" t="n"/>
      <c r="P20" s="62" t="n"/>
      <c r="Q20" s="62" t="n"/>
      <c r="R20" s="56" t="inlineStr">
        <is>
          <t>x</t>
        </is>
      </c>
      <c r="S20" s="56" t="inlineStr">
        <is>
          <t>x</t>
        </is>
      </c>
      <c r="T20" s="56" t="inlineStr">
        <is>
          <t>x</t>
        </is>
      </c>
      <c r="U20" s="56" t="inlineStr">
        <is>
          <t>x</t>
        </is>
      </c>
      <c r="V20" s="56" t="inlineStr">
        <is>
          <t>x</t>
        </is>
      </c>
      <c r="W20" s="56" t="inlineStr">
        <is>
          <t>x</t>
        </is>
      </c>
      <c r="X20" s="56" t="inlineStr">
        <is>
          <t>x</t>
        </is>
      </c>
      <c r="Y20" s="56" t="inlineStr">
        <is>
          <t>x</t>
        </is>
      </c>
      <c r="Z20" s="56" t="n"/>
      <c r="AA20" s="56" t="n"/>
      <c r="AB20" s="56" t="n"/>
      <c r="AC20" s="56" t="inlineStr">
        <is>
          <t>x</t>
        </is>
      </c>
      <c r="AD20" s="56" t="inlineStr">
        <is>
          <t>x</t>
        </is>
      </c>
      <c r="AE20" s="56" t="inlineStr">
        <is>
          <t>x</t>
        </is>
      </c>
      <c r="AF20" s="56" t="inlineStr">
        <is>
          <t>x</t>
        </is>
      </c>
      <c r="AG20" s="56" t="inlineStr">
        <is>
          <t>x</t>
        </is>
      </c>
      <c r="AH20" s="56" t="inlineStr">
        <is>
          <t>x</t>
        </is>
      </c>
      <c r="AI20" s="56" t="inlineStr">
        <is>
          <t>x</t>
        </is>
      </c>
      <c r="AJ20" s="56" t="inlineStr">
        <is>
          <t>x</t>
        </is>
      </c>
      <c r="AK20" s="56" t="inlineStr">
        <is>
          <t>x</t>
        </is>
      </c>
      <c r="AL20" s="56" t="inlineStr">
        <is>
          <t>x</t>
        </is>
      </c>
      <c r="AM20" s="56" t="n"/>
      <c r="AN20" s="56" t="n"/>
      <c r="AO20" s="56" t="n"/>
      <c r="AP20" s="56" t="n"/>
      <c r="AQ20" s="56" t="n"/>
      <c r="AR20" s="56" t="n"/>
      <c r="AS20" s="56" t="inlineStr">
        <is>
          <t>x</t>
        </is>
      </c>
      <c r="AT20" s="56" t="n"/>
      <c r="AU20" s="56" t="n"/>
      <c r="AV20" s="56" t="n"/>
      <c r="AW20" s="56" t="n"/>
      <c r="AX20" s="56" t="inlineStr">
        <is>
          <t>x</t>
        </is>
      </c>
      <c r="AY20" s="56" t="n"/>
      <c r="AZ20" s="56" t="n"/>
      <c r="BA20" s="56" t="n"/>
      <c r="BB20" s="56" t="inlineStr">
        <is>
          <t>x</t>
        </is>
      </c>
      <c r="BC20" s="56" t="n"/>
      <c r="BD20" s="56" t="n"/>
      <c r="BE20" s="56" t="n"/>
      <c r="BF20" s="56" t="n"/>
      <c r="BG20" s="56" t="n"/>
      <c r="BH20" s="56" t="n"/>
      <c r="BI20" s="56" t="n"/>
      <c r="BJ20" s="56" t="n"/>
      <c r="BK20" s="56" t="n"/>
      <c r="BL20" s="56" t="n"/>
      <c r="BM20" s="56" t="n"/>
      <c r="BN20" s="56" t="inlineStr">
        <is>
          <t>x</t>
        </is>
      </c>
      <c r="BO20" s="56" t="n"/>
      <c r="BP20" s="56" t="n"/>
      <c r="BQ20" s="56" t="n"/>
      <c r="BR20" s="56" t="inlineStr">
        <is>
          <t>x</t>
        </is>
      </c>
      <c r="BS20" s="56" t="n"/>
      <c r="BT20" s="56" t="n"/>
      <c r="BU20" s="56" t="n"/>
      <c r="BV20" s="56" t="inlineStr">
        <is>
          <t>x</t>
        </is>
      </c>
      <c r="BW20" s="56" t="n"/>
      <c r="BX20" s="56" t="n"/>
      <c r="BY20" s="56" t="n"/>
      <c r="BZ20" s="56" t="n"/>
      <c r="CA20" s="56" t="n"/>
      <c r="CB20" s="56" t="n"/>
      <c r="EU20" s="30" t="n"/>
      <c r="EV20" s="30" t="n"/>
      <c r="EW20" s="30" t="n"/>
    </row>
    <row r="21" ht="15" customHeight="1">
      <c r="A21" s="61" t="inlineStr">
        <is>
          <t>No válido o vacío</t>
        </is>
      </c>
      <c r="B21" s="62" t="n"/>
      <c r="C21" s="62" t="n"/>
      <c r="D21" s="62" t="n"/>
      <c r="E21" s="62" t="n"/>
      <c r="F21" s="62" t="n"/>
      <c r="G21" s="62" t="n"/>
      <c r="H21" s="62" t="n"/>
      <c r="I21" s="62" t="n"/>
      <c r="J21" s="62" t="n"/>
      <c r="K21" s="62" t="n"/>
      <c r="L21" s="62" t="n"/>
      <c r="M21" s="62" t="n"/>
      <c r="N21" s="62" t="n"/>
      <c r="O21" s="62" t="n"/>
      <c r="P21" s="62" t="n"/>
      <c r="Q21" s="62" t="n"/>
      <c r="R21" s="56" t="n"/>
      <c r="S21" s="56" t="n"/>
      <c r="T21" s="56" t="n"/>
      <c r="U21" s="56" t="n"/>
      <c r="V21" s="56" t="n"/>
      <c r="W21" s="56" t="n"/>
      <c r="X21" s="56" t="n"/>
      <c r="Y21" s="56" t="n"/>
      <c r="Z21" s="56" t="inlineStr">
        <is>
          <t>x</t>
        </is>
      </c>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inlineStr">
        <is>
          <t>x</t>
        </is>
      </c>
      <c r="AW21" s="56" t="n"/>
      <c r="AX21" s="56" t="n"/>
      <c r="AY21" s="56" t="n"/>
      <c r="AZ21" s="56" t="inlineStr">
        <is>
          <t>x</t>
        </is>
      </c>
      <c r="BA21" s="56" t="n"/>
      <c r="BB21" s="56" t="n"/>
      <c r="BC21" s="56" t="n"/>
      <c r="BD21" s="56" t="inlineStr">
        <is>
          <t>x</t>
        </is>
      </c>
      <c r="BE21" s="56" t="n"/>
      <c r="BF21" s="56" t="n"/>
      <c r="BG21" s="56" t="n"/>
      <c r="BH21" s="56" t="n"/>
      <c r="BI21" s="56" t="n"/>
      <c r="BJ21" s="56" t="n"/>
      <c r="BK21" s="56" t="n"/>
      <c r="BL21" s="56" t="n"/>
      <c r="BM21" s="56" t="n"/>
      <c r="BN21" s="56" t="n"/>
      <c r="BO21" s="56" t="inlineStr">
        <is>
          <t>x</t>
        </is>
      </c>
      <c r="BP21" s="56" t="n"/>
      <c r="BQ21" s="56" t="n"/>
      <c r="BR21" s="56" t="n"/>
      <c r="BS21" s="56" t="inlineStr">
        <is>
          <t>x</t>
        </is>
      </c>
      <c r="BT21" s="56" t="n"/>
      <c r="BU21" s="56" t="n"/>
      <c r="BV21" s="56" t="n"/>
      <c r="BW21" s="56" t="inlineStr">
        <is>
          <t>x</t>
        </is>
      </c>
      <c r="BX21" s="56" t="n"/>
      <c r="BY21" s="56" t="n"/>
      <c r="BZ21" s="56" t="n"/>
      <c r="CA21" s="56" t="n"/>
      <c r="CB21" s="56" t="n"/>
      <c r="EU21" s="30" t="n"/>
      <c r="EV21" s="30" t="n"/>
      <c r="EW21" s="30" t="n"/>
    </row>
    <row r="22" ht="15" customHeight="1">
      <c r="A22" s="47" t="inlineStr">
        <is>
          <t>Cuenta de ahorro</t>
        </is>
      </c>
      <c r="B22" s="62" t="n"/>
      <c r="C22" s="62" t="n"/>
      <c r="D22" s="62" t="n"/>
      <c r="E22" s="62" t="n"/>
      <c r="F22" s="62" t="n"/>
      <c r="G22" s="62" t="n"/>
      <c r="H22" s="62" t="n"/>
      <c r="I22" s="62" t="n"/>
      <c r="J22" s="62" t="n"/>
      <c r="K22" s="62" t="n"/>
      <c r="L22" s="62" t="n"/>
      <c r="M22" s="62" t="n"/>
      <c r="N22" s="62" t="n"/>
      <c r="O22" s="62" t="n"/>
      <c r="P22" s="62" t="n"/>
      <c r="Q22" s="62" t="n"/>
      <c r="R22" s="62" t="n"/>
      <c r="S22" s="62" t="n"/>
      <c r="T22" s="62" t="n"/>
      <c r="U22" s="62" t="n"/>
      <c r="V22" s="62" t="n"/>
      <c r="W22" s="62" t="n"/>
      <c r="X22" s="62" t="n"/>
      <c r="Y22" s="62" t="n"/>
      <c r="Z22" s="62" t="n"/>
      <c r="AA22" s="62" t="n"/>
      <c r="AB22" s="62" t="n"/>
      <c r="AC22" s="62" t="n"/>
      <c r="AD22" s="62" t="n"/>
      <c r="AE22" s="62" t="n"/>
      <c r="AF22" s="62" t="n"/>
      <c r="AG22" s="62" t="n"/>
      <c r="AH22" s="62" t="n"/>
      <c r="AI22" s="62" t="n"/>
      <c r="AJ22" s="62" t="n"/>
      <c r="AK22" s="62" t="n"/>
      <c r="AL22" s="62" t="n"/>
      <c r="AM22" s="62" t="n"/>
      <c r="AN22" s="62" t="n"/>
      <c r="AO22" s="62" t="n"/>
      <c r="AP22" s="62" t="n"/>
      <c r="AQ22" s="62" t="n"/>
      <c r="AR22" s="62" t="n"/>
      <c r="AS22" s="62" t="n"/>
      <c r="AT22" s="62" t="n"/>
      <c r="AU22" s="62" t="n"/>
      <c r="AV22" s="62" t="n"/>
      <c r="AW22" s="62" t="n"/>
      <c r="AX22" s="62" t="n"/>
      <c r="AY22" s="62" t="n"/>
      <c r="AZ22" s="62" t="n"/>
      <c r="BA22" s="62" t="n"/>
      <c r="BB22" s="62" t="n"/>
      <c r="BC22" s="62" t="n"/>
      <c r="BD22" s="62" t="n"/>
      <c r="BE22" s="62"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EU22" s="30" t="n"/>
      <c r="EV22" s="30" t="n"/>
      <c r="EW22" s="30" t="n"/>
    </row>
    <row r="23" ht="15" customHeight="1">
      <c r="A23" s="52" t="inlineStr">
        <is>
          <t>Vigentes</t>
        </is>
      </c>
      <c r="B23" s="56" t="inlineStr">
        <is>
          <t>x</t>
        </is>
      </c>
      <c r="C23" s="56" t="inlineStr">
        <is>
          <t>x</t>
        </is>
      </c>
      <c r="D23" s="56" t="n"/>
      <c r="E23" s="56" t="n"/>
      <c r="F23" s="56" t="n"/>
      <c r="G23" s="56" t="inlineStr">
        <is>
          <t>x</t>
        </is>
      </c>
      <c r="H23" s="56" t="inlineStr">
        <is>
          <t>x</t>
        </is>
      </c>
      <c r="I23" s="56" t="inlineStr">
        <is>
          <t>x</t>
        </is>
      </c>
      <c r="J23" s="56" t="inlineStr">
        <is>
          <t>x</t>
        </is>
      </c>
      <c r="K23" s="56" t="inlineStr">
        <is>
          <t>x</t>
        </is>
      </c>
      <c r="L23" s="56" t="inlineStr">
        <is>
          <t>x</t>
        </is>
      </c>
      <c r="M23" s="56" t="inlineStr">
        <is>
          <t>x</t>
        </is>
      </c>
      <c r="N23" s="56" t="inlineStr">
        <is>
          <t>x</t>
        </is>
      </c>
      <c r="O23" s="56" t="n"/>
      <c r="P23" s="56" t="n"/>
      <c r="Q23" s="62" t="n"/>
      <c r="R23" s="62" t="n"/>
      <c r="S23" s="62" t="n"/>
      <c r="T23" s="62" t="n"/>
      <c r="U23" s="62" t="n"/>
      <c r="V23" s="62" t="n"/>
      <c r="W23" s="62" t="n"/>
      <c r="X23" s="62" t="n"/>
      <c r="Y23" s="62" t="n"/>
      <c r="Z23" s="62" t="n"/>
      <c r="AA23" s="62" t="n"/>
      <c r="AB23" s="62" t="n"/>
      <c r="AC23" s="62" t="n"/>
      <c r="AD23" s="62" t="n"/>
      <c r="AE23" s="62" t="n"/>
      <c r="AF23" s="62" t="n"/>
      <c r="AG23" s="62" t="n"/>
      <c r="AH23" s="62" t="n"/>
      <c r="AI23" s="62" t="n"/>
      <c r="AJ23" s="62" t="n"/>
      <c r="AK23" s="62" t="n"/>
      <c r="AL23" s="62" t="n"/>
      <c r="AM23" s="62" t="n"/>
      <c r="AN23" s="62" t="n"/>
      <c r="AO23" s="62" t="n"/>
      <c r="AP23" s="62" t="n"/>
      <c r="AQ23" s="62" t="n"/>
      <c r="AR23" s="56" t="inlineStr">
        <is>
          <t>x</t>
        </is>
      </c>
      <c r="AS23" s="56" t="inlineStr">
        <is>
          <t>x</t>
        </is>
      </c>
      <c r="AT23" s="56" t="inlineStr">
        <is>
          <t>x</t>
        </is>
      </c>
      <c r="AU23" s="56" t="n"/>
      <c r="AV23" s="56" t="n"/>
      <c r="AW23" s="56" t="inlineStr">
        <is>
          <t>x</t>
        </is>
      </c>
      <c r="AX23" s="56" t="inlineStr">
        <is>
          <t>x</t>
        </is>
      </c>
      <c r="AY23" s="56" t="inlineStr">
        <is>
          <t>x</t>
        </is>
      </c>
      <c r="AZ23" s="56" t="n"/>
      <c r="BA23" s="56" t="inlineStr">
        <is>
          <t>x</t>
        </is>
      </c>
      <c r="BB23" s="56" t="inlineStr">
        <is>
          <t>x</t>
        </is>
      </c>
      <c r="BC23" s="56" t="inlineStr">
        <is>
          <t>x</t>
        </is>
      </c>
      <c r="BD23" s="56" t="n"/>
      <c r="BM23" s="56" t="inlineStr">
        <is>
          <t>x</t>
        </is>
      </c>
      <c r="BN23" s="56" t="inlineStr">
        <is>
          <t>x</t>
        </is>
      </c>
      <c r="BO23" s="56" t="inlineStr">
        <is>
          <t>x</t>
        </is>
      </c>
      <c r="BP23" s="56" t="n"/>
      <c r="BQ23" s="56" t="inlineStr">
        <is>
          <t>x</t>
        </is>
      </c>
      <c r="BR23" s="56" t="inlineStr">
        <is>
          <t>x</t>
        </is>
      </c>
      <c r="BS23" s="56" t="inlineStr">
        <is>
          <t>x</t>
        </is>
      </c>
      <c r="BT23" s="56" t="n"/>
      <c r="BU23" s="56" t="inlineStr">
        <is>
          <t>x</t>
        </is>
      </c>
      <c r="BV23" s="56" t="inlineStr">
        <is>
          <t>x</t>
        </is>
      </c>
      <c r="BW23" s="56" t="inlineStr">
        <is>
          <t>x</t>
        </is>
      </c>
      <c r="BX23" s="56" t="n"/>
      <c r="EU23" s="30" t="n"/>
      <c r="EV23" s="30" t="n"/>
      <c r="EW23" s="30" t="n"/>
    </row>
    <row r="24" ht="15" customHeight="1">
      <c r="A24" s="52" t="inlineStr">
        <is>
          <t>No vigentes</t>
        </is>
      </c>
      <c r="B24" s="56" t="n"/>
      <c r="C24" s="56" t="n"/>
      <c r="D24" s="56" t="n"/>
      <c r="E24" s="56" t="n"/>
      <c r="F24" s="56" t="n"/>
      <c r="G24" s="56" t="n"/>
      <c r="H24" s="56" t="n"/>
      <c r="I24" s="56" t="n"/>
      <c r="J24" s="56" t="n"/>
      <c r="K24" s="56" t="n"/>
      <c r="L24" s="56" t="n"/>
      <c r="M24" s="56" t="n"/>
      <c r="N24" s="56" t="n"/>
      <c r="O24" s="56" t="inlineStr">
        <is>
          <t>x</t>
        </is>
      </c>
      <c r="P24" s="56" t="n"/>
      <c r="Q24" s="62" t="n"/>
      <c r="R24" s="62" t="n"/>
      <c r="S24" s="62" t="n"/>
      <c r="T24" s="62" t="n"/>
      <c r="U24" s="62" t="n"/>
      <c r="V24" s="62" t="n"/>
      <c r="W24" s="62" t="n"/>
      <c r="X24" s="62" t="n"/>
      <c r="Y24" s="62" t="n"/>
      <c r="Z24" s="62" t="n"/>
      <c r="AA24" s="62" t="n"/>
      <c r="AB24" s="62" t="n"/>
      <c r="AC24" s="62" t="n"/>
      <c r="AD24" s="62" t="n"/>
      <c r="AE24" s="62" t="n"/>
      <c r="AF24" s="62" t="n"/>
      <c r="AG24" s="62" t="n"/>
      <c r="AH24" s="62" t="n"/>
      <c r="AI24" s="62" t="n"/>
      <c r="AJ24" s="62" t="n"/>
      <c r="AK24" s="62" t="n"/>
      <c r="AL24" s="62" t="n"/>
      <c r="AM24" s="62" t="n"/>
      <c r="AN24" s="62" t="n"/>
      <c r="AO24" s="62" t="n"/>
      <c r="AP24" s="62" t="n"/>
      <c r="AQ24" s="62" t="n"/>
      <c r="AR24" s="56" t="n"/>
      <c r="AS24" s="56" t="n"/>
      <c r="AT24" s="56" t="n"/>
      <c r="AU24" s="56" t="n"/>
      <c r="AV24" s="56" t="n"/>
      <c r="AW24" s="56" t="n"/>
      <c r="AX24" s="56" t="n"/>
      <c r="AY24" s="56" t="n"/>
      <c r="AZ24" s="56" t="n"/>
      <c r="BA24" s="56" t="n"/>
      <c r="BB24" s="56" t="n"/>
      <c r="BC24" s="56" t="n"/>
      <c r="BD24" s="56" t="n"/>
      <c r="BM24" s="56" t="n"/>
      <c r="BN24" s="56" t="n"/>
      <c r="BO24" s="56" t="n"/>
      <c r="BP24" s="56" t="n"/>
      <c r="BQ24" s="56" t="n"/>
      <c r="BR24" s="56" t="n"/>
      <c r="BS24" s="56" t="n"/>
      <c r="BT24" s="56" t="n"/>
      <c r="BU24" s="56" t="n"/>
      <c r="BV24" s="56" t="n"/>
      <c r="BW24" s="56" t="n"/>
      <c r="BX24" s="56" t="n"/>
      <c r="EU24" s="30" t="n"/>
      <c r="EV24" s="30" t="n"/>
      <c r="EW24" s="30" t="n"/>
    </row>
    <row r="25" ht="15" customHeight="1">
      <c r="A25" s="52" t="inlineStr">
        <is>
          <t>Propia</t>
        </is>
      </c>
      <c r="B25" s="56" t="n"/>
      <c r="C25" s="56" t="n"/>
      <c r="D25" s="56" t="n"/>
      <c r="E25" s="56" t="n"/>
      <c r="F25" s="56" t="n"/>
      <c r="G25" s="56" t="n"/>
      <c r="H25" s="56" t="n"/>
      <c r="I25" s="56" t="n"/>
      <c r="J25" s="56" t="n"/>
      <c r="K25" s="56" t="n"/>
      <c r="L25" s="56" t="n"/>
      <c r="M25" s="56" t="n"/>
      <c r="N25" s="56" t="n"/>
      <c r="O25" s="56" t="n"/>
      <c r="P25" s="56" t="inlineStr">
        <is>
          <t>x</t>
        </is>
      </c>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62" t="n"/>
      <c r="AP25" s="62" t="n"/>
      <c r="AQ25" s="62" t="n"/>
      <c r="AR25" s="56" t="n"/>
      <c r="AS25" s="56" t="n"/>
      <c r="AT25" s="56" t="n"/>
      <c r="AU25" s="56" t="n"/>
      <c r="AV25" s="56" t="inlineStr">
        <is>
          <t>x</t>
        </is>
      </c>
      <c r="AW25" s="56" t="n"/>
      <c r="AX25" s="56" t="n"/>
      <c r="AY25" s="56" t="n"/>
      <c r="AZ25" s="56" t="inlineStr">
        <is>
          <t>x</t>
        </is>
      </c>
      <c r="BA25" s="56" t="n"/>
      <c r="BB25" s="56" t="n"/>
      <c r="BC25" s="56" t="n"/>
      <c r="BD25" s="56" t="inlineStr">
        <is>
          <t>x</t>
        </is>
      </c>
      <c r="BM25" s="56" t="n"/>
      <c r="BN25" s="56" t="n"/>
      <c r="BO25" s="56" t="n"/>
      <c r="BP25" s="56" t="inlineStr">
        <is>
          <t>x</t>
        </is>
      </c>
      <c r="BQ25" s="56" t="n"/>
      <c r="BR25" s="56" t="n"/>
      <c r="BS25" s="56" t="n"/>
      <c r="BT25" s="56" t="inlineStr">
        <is>
          <t>x</t>
        </is>
      </c>
      <c r="BU25" s="56" t="n"/>
      <c r="BV25" s="56" t="n"/>
      <c r="BW25" s="56" t="n"/>
      <c r="BX25" s="56" t="inlineStr">
        <is>
          <t>x</t>
        </is>
      </c>
      <c r="EU25" s="30" t="n"/>
      <c r="EV25" s="30" t="n"/>
      <c r="EW25" s="30" t="n"/>
    </row>
    <row r="26" ht="15" customHeight="1">
      <c r="A26" s="47" t="inlineStr">
        <is>
          <t>Datos persona</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c r="BB26" s="62" t="n"/>
      <c r="BC26" s="62" t="n"/>
      <c r="BD26" s="62" t="n"/>
      <c r="BM26" s="62" t="n"/>
      <c r="BN26" s="62" t="n"/>
      <c r="BO26" s="62" t="n"/>
      <c r="BP26" s="62" t="n"/>
      <c r="BQ26" s="62" t="n"/>
      <c r="BR26" s="62" t="n"/>
      <c r="BS26" s="62" t="n"/>
      <c r="BT26" s="62" t="n"/>
      <c r="BU26" s="62" t="n"/>
      <c r="BV26" s="62" t="n"/>
      <c r="BW26" s="62" t="n"/>
      <c r="BX26" s="62" t="n"/>
      <c r="EU26" s="30" t="n"/>
      <c r="EV26" s="30" t="n"/>
      <c r="EW26" s="30" t="n"/>
    </row>
    <row r="27" ht="15" customHeight="1">
      <c r="A27" s="47" t="inlineStr">
        <is>
          <t>Primer nombre</t>
        </is>
      </c>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62" t="n"/>
      <c r="AP27" s="62" t="n"/>
      <c r="AQ27" s="62" t="n"/>
      <c r="AR27" s="62" t="n"/>
      <c r="AS27" s="62" t="n"/>
      <c r="AT27" s="62" t="n"/>
      <c r="AU27" s="62" t="n"/>
      <c r="AV27" s="62" t="n"/>
      <c r="AW27" s="62" t="n"/>
      <c r="AX27" s="62" t="n"/>
      <c r="AY27" s="62" t="n"/>
      <c r="AZ27" s="62" t="n"/>
      <c r="BA27" s="62" t="n"/>
      <c r="BB27" s="62" t="n"/>
      <c r="BC27" s="62" t="n"/>
      <c r="BD27" s="62" t="n"/>
      <c r="BM27" s="62" t="n"/>
      <c r="BN27" s="62" t="n"/>
      <c r="BO27" s="62" t="n"/>
      <c r="BP27" s="62" t="n"/>
      <c r="BQ27" s="62" t="n"/>
      <c r="BR27" s="62" t="n"/>
      <c r="BS27" s="62" t="n"/>
      <c r="BT27" s="62" t="n"/>
      <c r="BU27" s="62" t="n"/>
      <c r="BV27" s="62" t="n"/>
      <c r="BW27" s="62" t="n"/>
      <c r="BX27" s="62" t="n"/>
      <c r="EU27" s="30" t="n"/>
      <c r="EV27" s="30" t="n"/>
      <c r="EW27" s="30" t="n"/>
    </row>
    <row r="28" ht="15" customHeight="1">
      <c r="A28" s="52" t="inlineStr">
        <is>
          <t>Válido</t>
        </is>
      </c>
      <c r="B28" s="62" t="n"/>
      <c r="C28" s="62" t="n"/>
      <c r="D28" s="62" t="n"/>
      <c r="E28" s="62" t="n"/>
      <c r="F28" s="62" t="n"/>
      <c r="G28" s="62" t="n"/>
      <c r="H28" s="62" t="n"/>
      <c r="I28" s="62" t="n"/>
      <c r="J28" s="62" t="n"/>
      <c r="K28" s="62" t="n"/>
      <c r="L28" s="62" t="n"/>
      <c r="M28" s="62" t="n"/>
      <c r="N28" s="62" t="n"/>
      <c r="O28" s="62" t="n"/>
      <c r="P28" s="62" t="n"/>
      <c r="Q28" s="62" t="n"/>
      <c r="R28" s="56" t="inlineStr">
        <is>
          <t>x</t>
        </is>
      </c>
      <c r="S28" s="56" t="inlineStr">
        <is>
          <t>x</t>
        </is>
      </c>
      <c r="T28" s="56" t="inlineStr">
        <is>
          <t>x</t>
        </is>
      </c>
      <c r="U28" s="56" t="inlineStr">
        <is>
          <t>x</t>
        </is>
      </c>
      <c r="V28" s="56" t="inlineStr">
        <is>
          <t>x</t>
        </is>
      </c>
      <c r="W28" s="56" t="inlineStr">
        <is>
          <t>x</t>
        </is>
      </c>
      <c r="X28" s="56" t="inlineStr">
        <is>
          <t>x</t>
        </is>
      </c>
      <c r="Y28" s="56" t="inlineStr">
        <is>
          <t>x</t>
        </is>
      </c>
      <c r="Z28" s="56" t="n"/>
      <c r="AA28" s="56" t="n"/>
      <c r="AB28" s="56" t="n"/>
      <c r="AC28" s="56" t="inlineStr">
        <is>
          <t>x</t>
        </is>
      </c>
      <c r="AD28" s="56" t="inlineStr">
        <is>
          <t>x</t>
        </is>
      </c>
      <c r="AE28" s="56" t="inlineStr">
        <is>
          <t>x</t>
        </is>
      </c>
      <c r="AF28" s="56" t="inlineStr">
        <is>
          <t>x</t>
        </is>
      </c>
      <c r="AG28" s="56" t="inlineStr">
        <is>
          <t>x</t>
        </is>
      </c>
      <c r="AH28" s="56" t="inlineStr">
        <is>
          <t>x</t>
        </is>
      </c>
      <c r="AI28" s="56" t="inlineStr">
        <is>
          <t>x</t>
        </is>
      </c>
      <c r="AJ28" s="56" t="inlineStr">
        <is>
          <t>x</t>
        </is>
      </c>
      <c r="AK28" s="56" t="inlineStr">
        <is>
          <t>x</t>
        </is>
      </c>
      <c r="AL28" s="56" t="inlineStr">
        <is>
          <t>x</t>
        </is>
      </c>
      <c r="AM28" s="62" t="n"/>
      <c r="AN28" s="62" t="n"/>
      <c r="AO28" s="62" t="n"/>
      <c r="AP28" s="62" t="n"/>
      <c r="AQ28" s="62" t="n"/>
      <c r="AR28" s="62" t="n"/>
      <c r="AS28" s="62" t="n"/>
      <c r="AT28" s="62" t="n"/>
      <c r="AU28" s="62" t="n"/>
      <c r="AV28" s="62" t="n"/>
      <c r="AW28" s="62" t="n"/>
      <c r="AX28" s="62" t="n"/>
      <c r="AY28" s="62" t="n"/>
      <c r="AZ28" s="62" t="n"/>
      <c r="BA28" s="62" t="n"/>
      <c r="BB28" s="62" t="n"/>
      <c r="BC28" s="62" t="n"/>
      <c r="BD28" s="62" t="n"/>
      <c r="BM28" s="62" t="n"/>
      <c r="BN28" s="62" t="n"/>
      <c r="BO28" s="62" t="n"/>
      <c r="BP28" s="62" t="n"/>
      <c r="BQ28" s="62" t="n"/>
      <c r="BR28" s="62" t="n"/>
      <c r="BS28" s="62" t="n"/>
      <c r="BT28" s="62" t="n"/>
      <c r="BU28" s="62" t="n"/>
      <c r="BV28" s="62" t="n"/>
      <c r="BW28" s="62" t="n"/>
      <c r="BX28" s="62" t="n"/>
      <c r="EU28" s="30" t="n"/>
      <c r="EV28" s="30" t="n"/>
      <c r="EW28" s="30" t="n"/>
    </row>
    <row r="29" ht="15" customHeight="1">
      <c r="A29" s="52" t="inlineStr">
        <is>
          <t>Nulo o vacío</t>
        </is>
      </c>
      <c r="B29" s="62" t="n"/>
      <c r="C29" s="62" t="n"/>
      <c r="D29" s="62" t="n"/>
      <c r="E29" s="62" t="n"/>
      <c r="F29" s="62" t="n"/>
      <c r="G29" s="62" t="n"/>
      <c r="H29" s="62" t="n"/>
      <c r="I29" s="62" t="n"/>
      <c r="J29" s="62" t="n"/>
      <c r="K29" s="62" t="n"/>
      <c r="L29" s="62" t="n"/>
      <c r="M29" s="62" t="n"/>
      <c r="N29" s="62" t="n"/>
      <c r="O29" s="62" t="n"/>
      <c r="P29" s="62" t="n"/>
      <c r="Q29" s="62" t="n"/>
      <c r="R29" s="56" t="n"/>
      <c r="S29" s="56" t="n"/>
      <c r="T29" s="56" t="n"/>
      <c r="U29" s="56" t="n"/>
      <c r="V29" s="56" t="n"/>
      <c r="W29" s="56" t="n"/>
      <c r="X29" s="56" t="n"/>
      <c r="Y29" s="56" t="n"/>
      <c r="Z29" s="56" t="inlineStr">
        <is>
          <t>x</t>
        </is>
      </c>
      <c r="AA29" s="56" t="n"/>
      <c r="AB29" s="56" t="n"/>
      <c r="AC29" s="56" t="n"/>
      <c r="AD29" s="56" t="n"/>
      <c r="AE29" s="56" t="n"/>
      <c r="AF29" s="56" t="n"/>
      <c r="AG29" s="56" t="n"/>
      <c r="AH29" s="56" t="n"/>
      <c r="AI29" s="56" t="n"/>
      <c r="AJ29" s="56" t="n"/>
      <c r="AK29" s="56" t="n"/>
      <c r="AL29" s="56" t="n"/>
      <c r="AM29" s="62" t="n"/>
      <c r="AN29" s="62" t="n"/>
      <c r="AO29" s="62" t="n"/>
      <c r="AP29" s="62" t="n"/>
      <c r="AQ29" s="62" t="n"/>
      <c r="AR29" s="62" t="n"/>
      <c r="AS29" s="62" t="n"/>
      <c r="AT29" s="62" t="n"/>
      <c r="AU29" s="62" t="n"/>
      <c r="AV29" s="62" t="n"/>
      <c r="AW29" s="62" t="n"/>
      <c r="AX29" s="62" t="n"/>
      <c r="AY29" s="62" t="n"/>
      <c r="AZ29" s="62" t="n"/>
      <c r="BA29" s="62" t="n"/>
      <c r="BB29" s="62" t="n"/>
      <c r="BC29" s="62" t="n"/>
      <c r="BD29" s="62" t="n"/>
      <c r="BM29" s="62" t="n"/>
      <c r="BN29" s="62" t="n"/>
      <c r="BO29" s="62" t="n"/>
      <c r="BP29" s="62" t="n"/>
      <c r="BQ29" s="62" t="n"/>
      <c r="BR29" s="62" t="n"/>
      <c r="BS29" s="62" t="n"/>
      <c r="BT29" s="62" t="n"/>
      <c r="BU29" s="62" t="n"/>
      <c r="BV29" s="62" t="n"/>
      <c r="BW29" s="62" t="n"/>
      <c r="BX29" s="62" t="n"/>
      <c r="EU29" s="30" t="n"/>
      <c r="EV29" s="30" t="n"/>
      <c r="EW29" s="30" t="n"/>
    </row>
    <row r="30" ht="15" customHeight="1">
      <c r="A30" s="47" t="inlineStr">
        <is>
          <t>Segundo nombre</t>
        </is>
      </c>
      <c r="B30" s="62"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62" t="n"/>
      <c r="AP30" s="62" t="n"/>
      <c r="AQ30" s="62" t="n"/>
      <c r="AR30" s="62" t="n"/>
      <c r="AS30" s="62" t="n"/>
      <c r="AT30" s="62" t="n"/>
      <c r="AU30" s="62" t="n"/>
      <c r="AV30" s="62" t="n"/>
      <c r="AW30" s="62" t="n"/>
      <c r="AX30" s="62" t="n"/>
      <c r="AY30" s="62" t="n"/>
      <c r="AZ30" s="62" t="n"/>
      <c r="BA30" s="62" t="n"/>
      <c r="BB30" s="62" t="n"/>
      <c r="BC30" s="62" t="n"/>
      <c r="BD30" s="62" t="n"/>
      <c r="BM30" s="62" t="n"/>
      <c r="BN30" s="62" t="n"/>
      <c r="BO30" s="62" t="n"/>
      <c r="BP30" s="62" t="n"/>
      <c r="BQ30" s="62" t="n"/>
      <c r="BR30" s="62" t="n"/>
      <c r="BS30" s="62" t="n"/>
      <c r="BT30" s="62" t="n"/>
      <c r="BU30" s="62" t="n"/>
      <c r="BV30" s="62" t="n"/>
      <c r="BW30" s="62" t="n"/>
      <c r="BX30" s="62" t="n"/>
      <c r="EU30" s="30" t="n"/>
      <c r="EV30" s="30" t="n"/>
      <c r="EW30" s="30" t="n"/>
    </row>
    <row r="31" ht="15" customHeight="1">
      <c r="A31" s="52" t="inlineStr">
        <is>
          <t>Válido</t>
        </is>
      </c>
      <c r="B31" s="62" t="n"/>
      <c r="C31" s="62" t="n"/>
      <c r="D31" s="62" t="n"/>
      <c r="E31" s="62" t="n"/>
      <c r="F31" s="62" t="n"/>
      <c r="G31" s="62" t="n"/>
      <c r="H31" s="62" t="n"/>
      <c r="I31" s="62" t="n"/>
      <c r="J31" s="62" t="n"/>
      <c r="K31" s="62" t="n"/>
      <c r="L31" s="62" t="n"/>
      <c r="M31" s="62" t="n"/>
      <c r="N31" s="62" t="n"/>
      <c r="O31" s="62" t="n"/>
      <c r="P31" s="62" t="n"/>
      <c r="Q31" s="62" t="n"/>
      <c r="R31" s="56" t="inlineStr">
        <is>
          <t>x</t>
        </is>
      </c>
      <c r="S31" s="56" t="inlineStr">
        <is>
          <t>x</t>
        </is>
      </c>
      <c r="T31" s="56" t="inlineStr">
        <is>
          <t>x</t>
        </is>
      </c>
      <c r="U31" s="56" t="inlineStr">
        <is>
          <t>x</t>
        </is>
      </c>
      <c r="V31" s="56" t="inlineStr">
        <is>
          <t>x</t>
        </is>
      </c>
      <c r="W31" s="56" t="inlineStr">
        <is>
          <t>x</t>
        </is>
      </c>
      <c r="X31" s="56" t="inlineStr">
        <is>
          <t>x</t>
        </is>
      </c>
      <c r="Y31" s="56" t="inlineStr">
        <is>
          <t>x</t>
        </is>
      </c>
      <c r="Z31" s="56" t="n"/>
      <c r="AA31" s="56" t="n"/>
      <c r="AB31" s="56" t="n"/>
      <c r="AC31" s="56" t="inlineStr">
        <is>
          <t>x</t>
        </is>
      </c>
      <c r="AD31" s="56" t="inlineStr">
        <is>
          <t>x</t>
        </is>
      </c>
      <c r="AE31" s="56" t="inlineStr">
        <is>
          <t>x</t>
        </is>
      </c>
      <c r="AF31" s="56" t="inlineStr">
        <is>
          <t>x</t>
        </is>
      </c>
      <c r="AG31" s="56" t="inlineStr">
        <is>
          <t>x</t>
        </is>
      </c>
      <c r="AH31" s="56" t="inlineStr">
        <is>
          <t>x</t>
        </is>
      </c>
      <c r="AI31" s="56" t="inlineStr">
        <is>
          <t>x</t>
        </is>
      </c>
      <c r="AJ31" s="56" t="inlineStr">
        <is>
          <t>x</t>
        </is>
      </c>
      <c r="AK31" s="56" t="inlineStr">
        <is>
          <t>x</t>
        </is>
      </c>
      <c r="AL31" s="56" t="inlineStr">
        <is>
          <t>x</t>
        </is>
      </c>
      <c r="AM31" s="62" t="n"/>
      <c r="AN31" s="62" t="n"/>
      <c r="AO31" s="62" t="n"/>
      <c r="AP31" s="62" t="n"/>
      <c r="AQ31" s="62" t="n"/>
      <c r="AR31" s="62" t="n"/>
      <c r="AS31" s="62" t="n"/>
      <c r="AT31" s="62" t="n"/>
      <c r="AU31" s="62" t="n"/>
      <c r="AV31" s="62" t="n"/>
      <c r="AW31" s="62" t="n"/>
      <c r="AX31" s="62" t="n"/>
      <c r="AY31" s="62" t="n"/>
      <c r="AZ31" s="62" t="n"/>
      <c r="BA31" s="62" t="n"/>
      <c r="BB31" s="62" t="n"/>
      <c r="BC31" s="62" t="n"/>
      <c r="BD31" s="62" t="n"/>
      <c r="BM31" s="62" t="n"/>
      <c r="BN31" s="62" t="n"/>
      <c r="BO31" s="62" t="n"/>
      <c r="BP31" s="62" t="n"/>
      <c r="BQ31" s="62" t="n"/>
      <c r="BR31" s="62" t="n"/>
      <c r="BS31" s="62" t="n"/>
      <c r="BT31" s="62" t="n"/>
      <c r="BU31" s="62" t="n"/>
      <c r="BV31" s="62" t="n"/>
      <c r="BW31" s="62" t="n"/>
      <c r="BX31" s="62" t="n"/>
      <c r="EU31" s="30" t="n"/>
      <c r="EV31" s="30" t="n"/>
      <c r="EW31" s="30" t="n"/>
    </row>
    <row r="32" ht="15" customHeight="1">
      <c r="A32" s="52" t="inlineStr">
        <is>
          <t>Nulo o vacío</t>
        </is>
      </c>
      <c r="B32" s="62" t="n"/>
      <c r="C32" s="62" t="n"/>
      <c r="D32" s="62" t="n"/>
      <c r="E32" s="62" t="n"/>
      <c r="F32" s="62" t="n"/>
      <c r="G32" s="62" t="n"/>
      <c r="H32" s="62" t="n"/>
      <c r="I32" s="62" t="n"/>
      <c r="J32" s="62" t="n"/>
      <c r="K32" s="62" t="n"/>
      <c r="L32" s="62" t="n"/>
      <c r="M32" s="62" t="n"/>
      <c r="N32" s="62" t="n"/>
      <c r="O32" s="62" t="n"/>
      <c r="P32" s="62" t="n"/>
      <c r="Q32" s="62" t="n"/>
      <c r="R32" s="56" t="n"/>
      <c r="S32" s="56" t="n"/>
      <c r="T32" s="56" t="n"/>
      <c r="U32" s="56" t="n"/>
      <c r="V32" s="56" t="n"/>
      <c r="W32" s="56" t="n"/>
      <c r="X32" s="56" t="n"/>
      <c r="Y32" s="56" t="n"/>
      <c r="Z32" s="56" t="inlineStr">
        <is>
          <t>x</t>
        </is>
      </c>
      <c r="AA32" s="56" t="n"/>
      <c r="AB32" s="56" t="n"/>
      <c r="AC32" s="56" t="n"/>
      <c r="AD32" s="56" t="n"/>
      <c r="AE32" s="56" t="n"/>
      <c r="AF32" s="56" t="n"/>
      <c r="AG32" s="56" t="n"/>
      <c r="AH32" s="56" t="n"/>
      <c r="AI32" s="56" t="n"/>
      <c r="AJ32" s="56" t="n"/>
      <c r="AK32" s="56" t="n"/>
      <c r="AL32" s="56" t="n"/>
      <c r="AM32" s="62" t="n"/>
      <c r="AN32" s="62" t="n"/>
      <c r="AO32" s="62" t="n"/>
      <c r="AP32" s="62" t="n"/>
      <c r="AQ32" s="62" t="n"/>
      <c r="AR32" s="62" t="n"/>
      <c r="AS32" s="62" t="n"/>
      <c r="AT32" s="62" t="n"/>
      <c r="AU32" s="62" t="n"/>
      <c r="AV32" s="62" t="n"/>
      <c r="AW32" s="62" t="n"/>
      <c r="AX32" s="62" t="n"/>
      <c r="AY32" s="62" t="n"/>
      <c r="AZ32" s="62" t="n"/>
      <c r="BA32" s="62" t="n"/>
      <c r="BB32" s="62" t="n"/>
      <c r="BC32" s="62" t="n"/>
      <c r="BD32" s="62" t="n"/>
      <c r="BM32" s="62" t="n"/>
      <c r="BN32" s="62" t="n"/>
      <c r="BO32" s="62" t="n"/>
      <c r="BP32" s="62" t="n"/>
      <c r="BQ32" s="62" t="n"/>
      <c r="BR32" s="62" t="n"/>
      <c r="BS32" s="62" t="n"/>
      <c r="BT32" s="62" t="n"/>
      <c r="BU32" s="62" t="n"/>
      <c r="BV32" s="62" t="n"/>
      <c r="BW32" s="62" t="n"/>
      <c r="BX32" s="62" t="n"/>
      <c r="EU32" s="30" t="n"/>
      <c r="EV32" s="30" t="n"/>
      <c r="EW32" s="30" t="n"/>
    </row>
    <row r="33" ht="15" customHeight="1">
      <c r="A33" s="47" t="inlineStr">
        <is>
          <t>Primer apeliido</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62" t="n"/>
      <c r="AP33" s="62" t="n"/>
      <c r="AQ33" s="62" t="n"/>
      <c r="AR33" s="62" t="n"/>
      <c r="AS33" s="62" t="n"/>
      <c r="AT33" s="62" t="n"/>
      <c r="AU33" s="62" t="n"/>
      <c r="AV33" s="62" t="n"/>
      <c r="AW33" s="62" t="n"/>
      <c r="AX33" s="62" t="n"/>
      <c r="AY33" s="62" t="n"/>
      <c r="AZ33" s="62" t="n"/>
      <c r="BA33" s="62" t="n"/>
      <c r="BB33" s="62" t="n"/>
      <c r="BC33" s="62" t="n"/>
      <c r="BD33" s="62" t="n"/>
      <c r="BM33" s="62" t="n"/>
      <c r="BN33" s="62" t="n"/>
      <c r="BO33" s="62" t="n"/>
      <c r="BP33" s="62" t="n"/>
      <c r="BQ33" s="62" t="n"/>
      <c r="BR33" s="62" t="n"/>
      <c r="BS33" s="62" t="n"/>
      <c r="BT33" s="62" t="n"/>
      <c r="BU33" s="62" t="n"/>
      <c r="BV33" s="62" t="n"/>
      <c r="BW33" s="62" t="n"/>
      <c r="BX33" s="62" t="n"/>
      <c r="EU33" s="30" t="n"/>
      <c r="EV33" s="30" t="n"/>
      <c r="EW33" s="30" t="n"/>
    </row>
    <row r="34" ht="15" customHeight="1">
      <c r="A34" s="52" t="inlineStr">
        <is>
          <t>Válido</t>
        </is>
      </c>
      <c r="B34" s="62" t="n"/>
      <c r="C34" s="62" t="n"/>
      <c r="D34" s="62" t="n"/>
      <c r="E34" s="62" t="n"/>
      <c r="F34" s="62" t="n"/>
      <c r="G34" s="62" t="n"/>
      <c r="H34" s="62" t="n"/>
      <c r="I34" s="62" t="n"/>
      <c r="J34" s="62" t="n"/>
      <c r="K34" s="62" t="n"/>
      <c r="L34" s="62" t="n"/>
      <c r="M34" s="62" t="n"/>
      <c r="N34" s="62" t="n"/>
      <c r="O34" s="62" t="n"/>
      <c r="P34" s="62" t="n"/>
      <c r="Q34" s="62" t="n"/>
      <c r="R34" s="56" t="inlineStr">
        <is>
          <t>x</t>
        </is>
      </c>
      <c r="S34" s="56" t="inlineStr">
        <is>
          <t>x</t>
        </is>
      </c>
      <c r="T34" s="56" t="inlineStr">
        <is>
          <t>x</t>
        </is>
      </c>
      <c r="U34" s="56" t="inlineStr">
        <is>
          <t>x</t>
        </is>
      </c>
      <c r="V34" s="56" t="inlineStr">
        <is>
          <t>x</t>
        </is>
      </c>
      <c r="W34" s="56" t="inlineStr">
        <is>
          <t>x</t>
        </is>
      </c>
      <c r="X34" s="56" t="inlineStr">
        <is>
          <t>x</t>
        </is>
      </c>
      <c r="Y34" s="56" t="inlineStr">
        <is>
          <t>x</t>
        </is>
      </c>
      <c r="Z34" s="56" t="n"/>
      <c r="AA34" s="56" t="n"/>
      <c r="AB34" s="56" t="n"/>
      <c r="AC34" s="56" t="inlineStr">
        <is>
          <t>x</t>
        </is>
      </c>
      <c r="AD34" s="56" t="inlineStr">
        <is>
          <t>x</t>
        </is>
      </c>
      <c r="AE34" s="56" t="inlineStr">
        <is>
          <t>x</t>
        </is>
      </c>
      <c r="AF34" s="56" t="inlineStr">
        <is>
          <t>x</t>
        </is>
      </c>
      <c r="AG34" s="56" t="inlineStr">
        <is>
          <t>x</t>
        </is>
      </c>
      <c r="AH34" s="56" t="inlineStr">
        <is>
          <t>x</t>
        </is>
      </c>
      <c r="AI34" s="56" t="inlineStr">
        <is>
          <t>x</t>
        </is>
      </c>
      <c r="AJ34" s="56" t="inlineStr">
        <is>
          <t>x</t>
        </is>
      </c>
      <c r="AK34" s="56" t="inlineStr">
        <is>
          <t>x</t>
        </is>
      </c>
      <c r="AL34" s="56" t="inlineStr">
        <is>
          <t>x</t>
        </is>
      </c>
      <c r="AM34" s="62" t="n"/>
      <c r="AN34" s="62" t="n"/>
      <c r="AO34" s="62" t="n"/>
      <c r="AP34" s="62" t="n"/>
      <c r="AQ34" s="62" t="n"/>
      <c r="AR34" s="62" t="n"/>
      <c r="AS34" s="62" t="n"/>
      <c r="AT34" s="62" t="n"/>
      <c r="AU34" s="62" t="n"/>
      <c r="AV34" s="62" t="n"/>
      <c r="AW34" s="62" t="n"/>
      <c r="AX34" s="62" t="n"/>
      <c r="AY34" s="62" t="n"/>
      <c r="AZ34" s="62" t="n"/>
      <c r="BA34" s="62" t="n"/>
      <c r="BB34" s="62" t="n"/>
      <c r="BC34" s="62" t="n"/>
      <c r="BD34" s="62" t="n"/>
      <c r="BM34" s="62" t="n"/>
      <c r="BN34" s="62" t="n"/>
      <c r="BO34" s="62" t="n"/>
      <c r="BP34" s="62" t="n"/>
      <c r="BQ34" s="62" t="n"/>
      <c r="BR34" s="62" t="n"/>
      <c r="BS34" s="62" t="n"/>
      <c r="BT34" s="62" t="n"/>
      <c r="BU34" s="62" t="n"/>
      <c r="BV34" s="62" t="n"/>
      <c r="BW34" s="62" t="n"/>
      <c r="BX34" s="62" t="n"/>
      <c r="EU34" s="30" t="n"/>
      <c r="EV34" s="30" t="n"/>
      <c r="EW34" s="30" t="n"/>
    </row>
    <row r="35" ht="15" customHeight="1">
      <c r="A35" s="52" t="inlineStr">
        <is>
          <t>Nulo o vacío</t>
        </is>
      </c>
      <c r="B35" s="62" t="n"/>
      <c r="C35" s="62" t="n"/>
      <c r="D35" s="62" t="n"/>
      <c r="E35" s="62" t="n"/>
      <c r="F35" s="62" t="n"/>
      <c r="G35" s="62" t="n"/>
      <c r="H35" s="62" t="n"/>
      <c r="I35" s="62" t="n"/>
      <c r="J35" s="62" t="n"/>
      <c r="K35" s="62" t="n"/>
      <c r="L35" s="62" t="n"/>
      <c r="M35" s="62" t="n"/>
      <c r="N35" s="62" t="n"/>
      <c r="O35" s="62" t="n"/>
      <c r="P35" s="62" t="n"/>
      <c r="Q35" s="62" t="n"/>
      <c r="R35" s="56" t="n"/>
      <c r="S35" s="56" t="n"/>
      <c r="T35" s="56" t="n"/>
      <c r="U35" s="56" t="n"/>
      <c r="V35" s="56" t="n"/>
      <c r="W35" s="56" t="n"/>
      <c r="X35" s="56" t="n"/>
      <c r="Y35" s="56" t="n"/>
      <c r="Z35" s="56" t="inlineStr">
        <is>
          <t>x</t>
        </is>
      </c>
      <c r="AA35" s="56" t="n"/>
      <c r="AB35" s="56" t="n"/>
      <c r="AC35" s="56" t="n"/>
      <c r="AD35" s="56" t="n"/>
      <c r="AE35" s="56" t="n"/>
      <c r="AF35" s="56" t="n"/>
      <c r="AG35" s="56" t="n"/>
      <c r="AH35" s="56" t="n"/>
      <c r="AI35" s="56" t="n"/>
      <c r="AJ35" s="56" t="n"/>
      <c r="AK35" s="56" t="n"/>
      <c r="AL35" s="56" t="n"/>
      <c r="AM35" s="62" t="n"/>
      <c r="AN35" s="62" t="n"/>
      <c r="AO35" s="62" t="n"/>
      <c r="AP35" s="62" t="n"/>
      <c r="AQ35" s="62" t="n"/>
      <c r="AR35" s="62" t="n"/>
      <c r="AS35" s="62" t="n"/>
      <c r="AT35" s="62" t="n"/>
      <c r="AU35" s="62" t="n"/>
      <c r="AV35" s="62" t="n"/>
      <c r="AW35" s="62" t="n"/>
      <c r="AX35" s="62" t="n"/>
      <c r="AY35" s="62" t="n"/>
      <c r="AZ35" s="62" t="n"/>
      <c r="BA35" s="62" t="n"/>
      <c r="BB35" s="62" t="n"/>
      <c r="BC35" s="62" t="n"/>
      <c r="BD35" s="62" t="n"/>
      <c r="BM35" s="62" t="n"/>
      <c r="BN35" s="62" t="n"/>
      <c r="BO35" s="62" t="n"/>
      <c r="BP35" s="62" t="n"/>
      <c r="BQ35" s="62" t="n"/>
      <c r="BR35" s="62" t="n"/>
      <c r="BS35" s="62" t="n"/>
      <c r="BT35" s="62" t="n"/>
      <c r="BU35" s="62" t="n"/>
      <c r="BV35" s="62" t="n"/>
      <c r="BW35" s="62" t="n"/>
      <c r="BX35" s="62" t="n"/>
      <c r="EU35" s="30" t="n"/>
      <c r="EV35" s="30" t="n"/>
      <c r="EW35" s="30" t="n"/>
    </row>
    <row r="36" ht="15" customHeight="1">
      <c r="A36" s="47" t="inlineStr">
        <is>
          <t>Segundo apeliido</t>
        </is>
      </c>
      <c r="B36" s="62" t="n"/>
      <c r="C36" s="62" t="n"/>
      <c r="D36" s="62" t="n"/>
      <c r="E36" s="62" t="n"/>
      <c r="F36" s="62" t="n"/>
      <c r="G36" s="62" t="n"/>
      <c r="H36" s="62" t="n"/>
      <c r="I36" s="62" t="n"/>
      <c r="J36" s="62" t="n"/>
      <c r="K36" s="62" t="n"/>
      <c r="L36" s="62" t="n"/>
      <c r="M36" s="62" t="n"/>
      <c r="N36" s="62" t="n"/>
      <c r="O36" s="62" t="n"/>
      <c r="P36" s="62" t="n"/>
      <c r="Q36" s="62" t="n"/>
      <c r="R36" s="62" t="n"/>
      <c r="S36" s="62" t="n"/>
      <c r="T36" s="62" t="n"/>
      <c r="U36" s="62" t="n"/>
      <c r="V36" s="62" t="n"/>
      <c r="W36" s="62" t="n"/>
      <c r="X36" s="62" t="n"/>
      <c r="Y36" s="62" t="n"/>
      <c r="Z36" s="62" t="n"/>
      <c r="AA36" s="62" t="n"/>
      <c r="AB36" s="62" t="n"/>
      <c r="AC36" s="62" t="n"/>
      <c r="AD36" s="62" t="n"/>
      <c r="AE36" s="62" t="n"/>
      <c r="AF36" s="62" t="n"/>
      <c r="AG36" s="62" t="n"/>
      <c r="AH36" s="62" t="n"/>
      <c r="AI36" s="62" t="n"/>
      <c r="AJ36" s="62" t="n"/>
      <c r="AK36" s="62" t="n"/>
      <c r="AL36" s="62" t="n"/>
      <c r="AM36" s="62" t="n"/>
      <c r="AN36" s="62" t="n"/>
      <c r="AO36" s="62" t="n"/>
      <c r="AP36" s="62" t="n"/>
      <c r="AQ36" s="62" t="n"/>
      <c r="AR36" s="62" t="n"/>
      <c r="AS36" s="62" t="n"/>
      <c r="AT36" s="62" t="n"/>
      <c r="AU36" s="62" t="n"/>
      <c r="AV36" s="62" t="n"/>
      <c r="AW36" s="62" t="n"/>
      <c r="AX36" s="62" t="n"/>
      <c r="AY36" s="62" t="n"/>
      <c r="AZ36" s="62" t="n"/>
      <c r="BA36" s="62" t="n"/>
      <c r="BB36" s="62" t="n"/>
      <c r="BC36" s="62" t="n"/>
      <c r="BD36" s="62" t="n"/>
      <c r="BM36" s="62" t="n"/>
      <c r="BN36" s="62" t="n"/>
      <c r="BO36" s="62" t="n"/>
      <c r="BP36" s="62" t="n"/>
      <c r="BQ36" s="62" t="n"/>
      <c r="BR36" s="62" t="n"/>
      <c r="BS36" s="62" t="n"/>
      <c r="BT36" s="62" t="n"/>
      <c r="BU36" s="62" t="n"/>
      <c r="BV36" s="62" t="n"/>
      <c r="BW36" s="62" t="n"/>
      <c r="BX36" s="62" t="n"/>
      <c r="EU36" s="30" t="n"/>
      <c r="EV36" s="30" t="n"/>
      <c r="EW36" s="30" t="n"/>
    </row>
    <row r="37" ht="15" customHeight="1">
      <c r="A37" s="52" t="inlineStr">
        <is>
          <t>Válido</t>
        </is>
      </c>
      <c r="B37" s="62" t="n"/>
      <c r="C37" s="62" t="n"/>
      <c r="D37" s="62" t="n"/>
      <c r="E37" s="62" t="n"/>
      <c r="F37" s="62" t="n"/>
      <c r="G37" s="62" t="n"/>
      <c r="H37" s="62" t="n"/>
      <c r="I37" s="62" t="n"/>
      <c r="J37" s="62" t="n"/>
      <c r="K37" s="62" t="n"/>
      <c r="L37" s="62" t="n"/>
      <c r="M37" s="62" t="n"/>
      <c r="N37" s="62" t="n"/>
      <c r="O37" s="62" t="n"/>
      <c r="P37" s="62" t="n"/>
      <c r="Q37" s="62" t="n"/>
      <c r="R37" s="56" t="inlineStr">
        <is>
          <t>x</t>
        </is>
      </c>
      <c r="S37" s="56" t="inlineStr">
        <is>
          <t>x</t>
        </is>
      </c>
      <c r="T37" s="56" t="inlineStr">
        <is>
          <t>x</t>
        </is>
      </c>
      <c r="U37" s="56" t="inlineStr">
        <is>
          <t>x</t>
        </is>
      </c>
      <c r="V37" s="56" t="inlineStr">
        <is>
          <t>x</t>
        </is>
      </c>
      <c r="W37" s="56" t="inlineStr">
        <is>
          <t>x</t>
        </is>
      </c>
      <c r="X37" s="56" t="inlineStr">
        <is>
          <t>x</t>
        </is>
      </c>
      <c r="Y37" s="56" t="inlineStr">
        <is>
          <t>x</t>
        </is>
      </c>
      <c r="Z37" s="56" t="n"/>
      <c r="AA37" s="56" t="n"/>
      <c r="AB37" s="56" t="n"/>
      <c r="AC37" s="56" t="inlineStr">
        <is>
          <t>x</t>
        </is>
      </c>
      <c r="AD37" s="56" t="inlineStr">
        <is>
          <t>x</t>
        </is>
      </c>
      <c r="AE37" s="56" t="inlineStr">
        <is>
          <t>x</t>
        </is>
      </c>
      <c r="AF37" s="56" t="inlineStr">
        <is>
          <t>x</t>
        </is>
      </c>
      <c r="AG37" s="56" t="inlineStr">
        <is>
          <t>x</t>
        </is>
      </c>
      <c r="AH37" s="56" t="inlineStr">
        <is>
          <t>x</t>
        </is>
      </c>
      <c r="AI37" s="56" t="inlineStr">
        <is>
          <t>x</t>
        </is>
      </c>
      <c r="AJ37" s="56" t="inlineStr">
        <is>
          <t>x</t>
        </is>
      </c>
      <c r="AK37" s="56" t="inlineStr">
        <is>
          <t>x</t>
        </is>
      </c>
      <c r="AL37" s="56" t="inlineStr">
        <is>
          <t>x</t>
        </is>
      </c>
      <c r="AM37" s="62" t="n"/>
      <c r="AN37" s="62" t="n"/>
      <c r="AO37" s="62" t="n"/>
      <c r="AP37" s="62" t="n"/>
      <c r="AQ37" s="62" t="n"/>
      <c r="AR37" s="62" t="n"/>
      <c r="AS37" s="62" t="n"/>
      <c r="AT37" s="62" t="n"/>
      <c r="AU37" s="62" t="n"/>
      <c r="AV37" s="62" t="n"/>
      <c r="AW37" s="62" t="n"/>
      <c r="AX37" s="62" t="n"/>
      <c r="AY37" s="62" t="n"/>
      <c r="AZ37" s="62" t="n"/>
      <c r="BA37" s="62" t="n"/>
      <c r="BB37" s="62" t="n"/>
      <c r="BC37" s="62" t="n"/>
      <c r="BD37" s="62" t="n"/>
      <c r="BM37" s="62" t="n"/>
      <c r="BN37" s="62" t="n"/>
      <c r="BO37" s="62" t="n"/>
      <c r="BP37" s="62" t="n"/>
      <c r="BQ37" s="62" t="n"/>
      <c r="BR37" s="62" t="n"/>
      <c r="BS37" s="62" t="n"/>
      <c r="BT37" s="62" t="n"/>
      <c r="BU37" s="62" t="n"/>
      <c r="BV37" s="62" t="n"/>
      <c r="BW37" s="62" t="n"/>
      <c r="BX37" s="62" t="n"/>
      <c r="EU37" s="30" t="n"/>
      <c r="EV37" s="30" t="n"/>
      <c r="EW37" s="30" t="n"/>
    </row>
    <row r="38" ht="15" customHeight="1">
      <c r="A38" s="52" t="inlineStr">
        <is>
          <t>Nulo o vacío</t>
        </is>
      </c>
      <c r="B38" s="62" t="n"/>
      <c r="C38" s="62" t="n"/>
      <c r="D38" s="62" t="n"/>
      <c r="E38" s="62" t="n"/>
      <c r="F38" s="62" t="n"/>
      <c r="G38" s="62" t="n"/>
      <c r="H38" s="62" t="n"/>
      <c r="I38" s="62" t="n"/>
      <c r="J38" s="62" t="n"/>
      <c r="K38" s="62" t="n"/>
      <c r="L38" s="62" t="n"/>
      <c r="M38" s="62" t="n"/>
      <c r="N38" s="62" t="n"/>
      <c r="O38" s="62" t="n"/>
      <c r="P38" s="62" t="n"/>
      <c r="Q38" s="62" t="n"/>
      <c r="R38" s="56" t="n"/>
      <c r="S38" s="56" t="n"/>
      <c r="T38" s="56" t="n"/>
      <c r="U38" s="56" t="n"/>
      <c r="V38" s="56" t="n"/>
      <c r="W38" s="56" t="n"/>
      <c r="X38" s="56" t="n"/>
      <c r="Y38" s="56" t="n"/>
      <c r="Z38" s="56" t="inlineStr">
        <is>
          <t>x</t>
        </is>
      </c>
      <c r="AA38" s="56" t="n"/>
      <c r="AB38" s="56" t="n"/>
      <c r="AC38" s="56" t="n"/>
      <c r="AD38" s="56" t="n"/>
      <c r="AE38" s="56" t="n"/>
      <c r="AF38" s="56" t="n"/>
      <c r="AG38" s="56" t="n"/>
      <c r="AH38" s="56" t="n"/>
      <c r="AI38" s="56" t="n"/>
      <c r="AJ38" s="56" t="n"/>
      <c r="AK38" s="56" t="n"/>
      <c r="AL38" s="56" t="n"/>
      <c r="AM38" s="62" t="n"/>
      <c r="AN38" s="62" t="n"/>
      <c r="AO38" s="62" t="n"/>
      <c r="AP38" s="62" t="n"/>
      <c r="AQ38" s="62" t="n"/>
      <c r="AR38" s="62" t="n"/>
      <c r="AS38" s="62" t="n"/>
      <c r="AT38" s="62" t="n"/>
      <c r="AU38" s="62" t="n"/>
      <c r="AV38" s="62" t="n"/>
      <c r="AW38" s="62" t="n"/>
      <c r="AX38" s="62" t="n"/>
      <c r="AY38" s="62" t="n"/>
      <c r="AZ38" s="62" t="n"/>
      <c r="BA38" s="62" t="n"/>
      <c r="BB38" s="62" t="n"/>
      <c r="BC38" s="62" t="n"/>
      <c r="BD38" s="62" t="n"/>
      <c r="BM38" s="62" t="n"/>
      <c r="BN38" s="62" t="n"/>
      <c r="BO38" s="62" t="n"/>
      <c r="BP38" s="62" t="n"/>
      <c r="BQ38" s="62" t="n"/>
      <c r="BR38" s="62" t="n"/>
      <c r="BS38" s="62" t="n"/>
      <c r="BT38" s="62" t="n"/>
      <c r="BU38" s="62" t="n"/>
      <c r="BV38" s="62" t="n"/>
      <c r="BW38" s="62" t="n"/>
      <c r="BX38" s="62" t="n"/>
      <c r="EU38" s="30" t="n"/>
      <c r="EV38" s="30" t="n"/>
      <c r="EW38" s="30" t="n"/>
    </row>
    <row r="39" ht="15" customHeight="1">
      <c r="A39" s="47" t="inlineStr">
        <is>
          <t>PIN Remesa</t>
        </is>
      </c>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c r="AB39" s="62" t="n"/>
      <c r="AC39" s="62" t="n"/>
      <c r="AD39" s="62" t="n"/>
      <c r="AE39" s="62" t="n"/>
      <c r="AF39" s="62" t="n"/>
      <c r="AG39" s="62" t="n"/>
      <c r="AH39" s="62" t="n"/>
      <c r="AI39" s="62" t="n"/>
      <c r="AJ39" s="62" t="n"/>
      <c r="AK39" s="62" t="n"/>
      <c r="AL39" s="62" t="n"/>
      <c r="AM39" s="62" t="n"/>
      <c r="AN39" s="62" t="n"/>
      <c r="AO39" s="62" t="n"/>
      <c r="AP39" s="62" t="n"/>
      <c r="AQ39" s="62" t="n"/>
      <c r="AR39" s="62" t="n"/>
      <c r="AS39" s="62" t="n"/>
      <c r="AT39" s="62" t="n"/>
      <c r="AU39" s="62" t="n"/>
      <c r="AV39" s="62" t="n"/>
      <c r="AW39" s="62" t="n"/>
      <c r="AX39" s="62" t="n"/>
      <c r="AY39" s="62" t="n"/>
      <c r="AZ39" s="62" t="n"/>
      <c r="BA39" s="62" t="n"/>
      <c r="BB39" s="62" t="n"/>
      <c r="BC39" s="62" t="n"/>
      <c r="BD39" s="62" t="n"/>
      <c r="BE39" s="62"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EU39" s="30" t="n"/>
      <c r="EV39" s="30" t="n"/>
      <c r="EW39" s="30" t="n"/>
    </row>
    <row r="40" ht="15" customHeight="1">
      <c r="A40" s="52" t="inlineStr">
        <is>
          <t>Numérico, de 9 caracteres y único</t>
        </is>
      </c>
      <c r="B40" s="56" t="inlineStr">
        <is>
          <t>x</t>
        </is>
      </c>
      <c r="C40" s="56" t="inlineStr">
        <is>
          <t>x</t>
        </is>
      </c>
      <c r="D40" s="56" t="inlineStr">
        <is>
          <t>x</t>
        </is>
      </c>
      <c r="E40" s="56" t="inlineStr">
        <is>
          <t>x</t>
        </is>
      </c>
      <c r="F40" s="56" t="n"/>
      <c r="G40" s="56" t="inlineStr">
        <is>
          <t>x</t>
        </is>
      </c>
      <c r="H40" s="56" t="inlineStr">
        <is>
          <t>x</t>
        </is>
      </c>
      <c r="I40" s="56" t="n"/>
      <c r="J40" s="56" t="inlineStr">
        <is>
          <t>x</t>
        </is>
      </c>
      <c r="K40" s="56" t="inlineStr">
        <is>
          <t>x</t>
        </is>
      </c>
      <c r="L40" s="56" t="inlineStr">
        <is>
          <t>x</t>
        </is>
      </c>
      <c r="M40" s="56" t="n"/>
      <c r="N40" s="56" t="n"/>
      <c r="O40" s="56" t="n"/>
      <c r="P40" s="56" t="inlineStr">
        <is>
          <t>x</t>
        </is>
      </c>
      <c r="Q40" s="56" t="n"/>
      <c r="R40" s="56" t="inlineStr">
        <is>
          <t>x</t>
        </is>
      </c>
      <c r="S40" s="56" t="inlineStr">
        <is>
          <t>x</t>
        </is>
      </c>
      <c r="T40" s="56" t="inlineStr">
        <is>
          <t>x</t>
        </is>
      </c>
      <c r="U40" s="56" t="inlineStr">
        <is>
          <t>x</t>
        </is>
      </c>
      <c r="V40" s="56" t="n"/>
      <c r="W40" s="56" t="inlineStr">
        <is>
          <t>x</t>
        </is>
      </c>
      <c r="X40" s="56" t="n"/>
      <c r="Y40" s="56" t="inlineStr">
        <is>
          <t>x</t>
        </is>
      </c>
      <c r="Z40" s="56" t="n"/>
      <c r="AA40" s="56" t="n"/>
      <c r="AB40" s="56" t="n"/>
      <c r="AC40" s="56" t="inlineStr">
        <is>
          <t>x</t>
        </is>
      </c>
      <c r="AD40" s="56" t="inlineStr">
        <is>
          <t>x</t>
        </is>
      </c>
      <c r="AE40" s="56" t="inlineStr">
        <is>
          <t>x</t>
        </is>
      </c>
      <c r="AF40" s="56" t="inlineStr">
        <is>
          <t>x</t>
        </is>
      </c>
      <c r="AG40" s="56" t="n"/>
      <c r="AH40" s="56" t="inlineStr">
        <is>
          <t>x</t>
        </is>
      </c>
      <c r="AI40" s="56" t="inlineStr">
        <is>
          <t>x</t>
        </is>
      </c>
      <c r="AJ40" s="56" t="inlineStr">
        <is>
          <t>x</t>
        </is>
      </c>
      <c r="AK40" s="56" t="inlineStr">
        <is>
          <t>x</t>
        </is>
      </c>
      <c r="AL40" s="56" t="n"/>
      <c r="AM40" s="56" t="n"/>
      <c r="AN40" s="56" t="n"/>
      <c r="AO40" s="56" t="n"/>
      <c r="AP40" s="56" t="n"/>
      <c r="AQ40" s="56" t="n"/>
      <c r="AR40" s="56" t="inlineStr">
        <is>
          <t>x</t>
        </is>
      </c>
      <c r="AS40" s="56" t="n"/>
      <c r="AT40" s="56" t="n"/>
      <c r="AU40" s="56" t="n"/>
      <c r="AV40" s="56" t="n"/>
      <c r="AW40" s="56" t="inlineStr">
        <is>
          <t>x</t>
        </is>
      </c>
      <c r="AX40" s="56" t="n"/>
      <c r="AY40" s="56" t="n"/>
      <c r="AZ40" s="56" t="n"/>
      <c r="BA40" s="56" t="inlineStr">
        <is>
          <t>x</t>
        </is>
      </c>
      <c r="BB40" s="56" t="n"/>
      <c r="BC40" s="56" t="n"/>
      <c r="BD40" s="56" t="n"/>
      <c r="BE40" s="56" t="inlineStr">
        <is>
          <t>x</t>
        </is>
      </c>
      <c r="BF40" s="56" t="n"/>
      <c r="BG40" s="56" t="n"/>
      <c r="BH40" s="56" t="n"/>
      <c r="BI40" s="62" t="n"/>
      <c r="BJ40" s="62" t="n"/>
      <c r="BK40" s="62" t="n"/>
      <c r="BL40" s="62" t="n"/>
      <c r="BM40" s="62" t="n"/>
      <c r="BN40" s="62" t="n"/>
      <c r="BO40" s="62" t="n"/>
      <c r="BP40" s="62" t="n"/>
      <c r="BQ40" s="62" t="n"/>
      <c r="BR40" s="62" t="n"/>
      <c r="BS40" s="62" t="n"/>
      <c r="BT40" s="62" t="n"/>
      <c r="BU40" s="62" t="n"/>
      <c r="BV40" s="62" t="n"/>
      <c r="BW40" s="62" t="n"/>
      <c r="BX40" s="62" t="n"/>
      <c r="BY40" s="56" t="inlineStr">
        <is>
          <t>x</t>
        </is>
      </c>
      <c r="BZ40" s="56" t="n"/>
      <c r="CA40" s="56" t="n"/>
      <c r="CB40" s="56" t="n"/>
      <c r="EU40" s="30" t="n"/>
      <c r="EV40" s="30" t="n"/>
      <c r="EW40" s="30" t="n"/>
    </row>
    <row r="41" ht="15" customHeight="1">
      <c r="A41" s="52" t="inlineStr">
        <is>
          <t>Duplicado</t>
        </is>
      </c>
      <c r="B41" s="56" t="n"/>
      <c r="C41" s="56" t="n"/>
      <c r="D41" s="56" t="n"/>
      <c r="E41" s="56" t="n"/>
      <c r="F41" s="56" t="n"/>
      <c r="G41" s="56" t="n"/>
      <c r="H41" s="56" t="n"/>
      <c r="I41" s="56" t="n"/>
      <c r="J41" s="56" t="n"/>
      <c r="K41" s="56" t="n"/>
      <c r="L41" s="56" t="n"/>
      <c r="M41" s="56" t="inlineStr">
        <is>
          <t>x</t>
        </is>
      </c>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inlineStr">
        <is>
          <t>x</t>
        </is>
      </c>
      <c r="AT41" s="56" t="n"/>
      <c r="AU41" s="56" t="n"/>
      <c r="AV41" s="56" t="n"/>
      <c r="AW41" s="56" t="n"/>
      <c r="AX41" s="56" t="inlineStr">
        <is>
          <t>x</t>
        </is>
      </c>
      <c r="AY41" s="56" t="n"/>
      <c r="AZ41" s="56" t="n"/>
      <c r="BA41" s="56" t="n"/>
      <c r="BB41" s="56" t="inlineStr">
        <is>
          <t>x</t>
        </is>
      </c>
      <c r="BC41" s="56" t="n"/>
      <c r="BD41" s="56" t="n"/>
      <c r="BE41" s="56" t="n"/>
      <c r="BF41" s="56" t="inlineStr">
        <is>
          <t>x</t>
        </is>
      </c>
      <c r="BG41" s="56" t="n"/>
      <c r="BH41" s="56" t="n"/>
      <c r="BI41" s="62" t="n"/>
      <c r="BJ41" s="62" t="n"/>
      <c r="BK41" s="62" t="n"/>
      <c r="BL41" s="62" t="n"/>
      <c r="BM41" s="62" t="n"/>
      <c r="BN41" s="62" t="n"/>
      <c r="BO41" s="62" t="n"/>
      <c r="BP41" s="62" t="n"/>
      <c r="BQ41" s="62" t="n"/>
      <c r="BR41" s="62" t="n"/>
      <c r="BS41" s="62" t="n"/>
      <c r="BT41" s="62" t="n"/>
      <c r="BU41" s="62" t="n"/>
      <c r="BV41" s="62" t="n"/>
      <c r="BW41" s="62" t="n"/>
      <c r="BX41" s="62" t="n"/>
      <c r="BY41" s="56" t="n"/>
      <c r="BZ41" s="56" t="inlineStr">
        <is>
          <t>x</t>
        </is>
      </c>
      <c r="CA41" s="56" t="n"/>
      <c r="CB41" s="56" t="n"/>
      <c r="EU41" s="30" t="n"/>
      <c r="EV41" s="30" t="n"/>
      <c r="EW41" s="30" t="n"/>
    </row>
    <row r="42" ht="18" customHeight="1">
      <c r="A42" s="61" t="inlineStr">
        <is>
          <t>Anulado</t>
        </is>
      </c>
      <c r="B42" s="56" t="n"/>
      <c r="C42" s="56" t="n"/>
      <c r="D42" s="56" t="n"/>
      <c r="E42" s="56" t="n"/>
      <c r="F42" s="56" t="n"/>
      <c r="G42" s="56" t="n"/>
      <c r="H42" s="56" t="n"/>
      <c r="I42" s="56" t="inlineStr">
        <is>
          <t>x</t>
        </is>
      </c>
      <c r="J42" s="56" t="n"/>
      <c r="K42" s="56" t="n"/>
      <c r="L42" s="56" t="n"/>
      <c r="M42" s="56" t="n"/>
      <c r="N42" s="56" t="inlineStr">
        <is>
          <t>x</t>
        </is>
      </c>
      <c r="O42" s="56" t="n"/>
      <c r="P42" s="56" t="n"/>
      <c r="Q42" s="56" t="n"/>
      <c r="R42" s="56" t="n"/>
      <c r="S42" s="56" t="n"/>
      <c r="T42" s="56" t="n"/>
      <c r="U42" s="56" t="n"/>
      <c r="V42" s="56" t="inlineStr">
        <is>
          <t>x</t>
        </is>
      </c>
      <c r="W42" s="56" t="n"/>
      <c r="X42" s="56" t="inlineStr">
        <is>
          <t>x</t>
        </is>
      </c>
      <c r="Y42" s="56" t="n"/>
      <c r="Z42" s="56" t="n"/>
      <c r="AA42" s="56" t="n"/>
      <c r="AB42" s="56" t="n"/>
      <c r="AC42" s="56" t="n"/>
      <c r="AD42" s="56" t="n"/>
      <c r="AE42" s="56" t="n"/>
      <c r="AF42" s="56" t="n"/>
      <c r="AG42" s="56" t="inlineStr">
        <is>
          <t>x</t>
        </is>
      </c>
      <c r="AH42" s="56" t="n"/>
      <c r="AI42" s="56" t="n"/>
      <c r="AJ42" s="56" t="n"/>
      <c r="AK42" s="56" t="n"/>
      <c r="AL42" s="56" t="inlineStr">
        <is>
          <t>x</t>
        </is>
      </c>
      <c r="AM42" s="56" t="n"/>
      <c r="AN42" s="56" t="n"/>
      <c r="AO42" s="56" t="n"/>
      <c r="AP42" s="56" t="n"/>
      <c r="AQ42" s="56" t="n"/>
      <c r="AR42" s="56" t="n"/>
      <c r="AS42" s="56" t="n"/>
      <c r="AT42" s="56" t="inlineStr">
        <is>
          <t>x</t>
        </is>
      </c>
      <c r="AU42" s="56" t="n"/>
      <c r="AV42" s="56" t="n"/>
      <c r="AW42" s="56" t="n"/>
      <c r="AX42" s="56" t="n"/>
      <c r="AY42" s="56" t="inlineStr">
        <is>
          <t>x</t>
        </is>
      </c>
      <c r="AZ42" s="56" t="n"/>
      <c r="BA42" s="56" t="n"/>
      <c r="BB42" s="56" t="n"/>
      <c r="BC42" s="56" t="inlineStr">
        <is>
          <t>x</t>
        </is>
      </c>
      <c r="BD42" s="56" t="n"/>
      <c r="BE42" s="56" t="n"/>
      <c r="BF42" s="56" t="n"/>
      <c r="BG42" s="56" t="n"/>
      <c r="BH42" s="56" t="n"/>
      <c r="BI42" s="62" t="n"/>
      <c r="BJ42" s="62" t="n"/>
      <c r="BK42" s="62" t="n"/>
      <c r="BL42" s="62" t="n"/>
      <c r="BM42" s="62" t="n"/>
      <c r="BN42" s="62" t="n"/>
      <c r="BO42" s="62" t="n"/>
      <c r="BP42" s="62" t="n"/>
      <c r="BQ42" s="62" t="n"/>
      <c r="BR42" s="62" t="n"/>
      <c r="BS42" s="62" t="n"/>
      <c r="BT42" s="62" t="n"/>
      <c r="BU42" s="62" t="n"/>
      <c r="BV42" s="62" t="n"/>
      <c r="BW42" s="62" t="n"/>
      <c r="BX42" s="62" t="n"/>
      <c r="BY42" s="56" t="n"/>
      <c r="BZ42" s="56" t="n"/>
      <c r="CA42" s="56" t="n"/>
      <c r="CB42" s="56" t="n"/>
      <c r="EU42" s="30" t="n"/>
      <c r="EV42" s="30" t="n"/>
      <c r="EW42" s="30" t="n"/>
    </row>
    <row r="43" ht="15" customHeight="1">
      <c r="A43" s="61" t="inlineStr">
        <is>
          <t>No válido, no numérico, diferente a 9 caracteres o vacío</t>
        </is>
      </c>
      <c r="B43" s="56" t="n"/>
      <c r="C43" s="56" t="n"/>
      <c r="D43" s="56" t="n"/>
      <c r="E43" s="56" t="n"/>
      <c r="F43" s="56" t="n"/>
      <c r="G43" s="56" t="n"/>
      <c r="H43" s="56" t="n"/>
      <c r="I43" s="56" t="n"/>
      <c r="J43" s="56" t="n"/>
      <c r="K43" s="56" t="n"/>
      <c r="L43" s="56" t="n"/>
      <c r="M43" s="56" t="n"/>
      <c r="N43" s="56" t="n"/>
      <c r="O43" s="56" t="inlineStr">
        <is>
          <t>x</t>
        </is>
      </c>
      <c r="P43" s="56" t="n"/>
      <c r="Q43" s="56" t="n"/>
      <c r="R43" s="56" t="n"/>
      <c r="S43" s="56" t="n"/>
      <c r="T43" s="56" t="n"/>
      <c r="U43" s="56" t="n"/>
      <c r="V43" s="56" t="n"/>
      <c r="W43" s="56" t="n"/>
      <c r="X43" s="56" t="n"/>
      <c r="Y43" s="56" t="n"/>
      <c r="Z43" s="56" t="inlineStr">
        <is>
          <t>x</t>
        </is>
      </c>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inlineStr">
        <is>
          <t>x</t>
        </is>
      </c>
      <c r="AW43" s="56" t="n"/>
      <c r="AX43" s="56" t="n"/>
      <c r="AY43" s="56" t="n"/>
      <c r="AZ43" s="56" t="inlineStr">
        <is>
          <t>x</t>
        </is>
      </c>
      <c r="BA43" s="56" t="n"/>
      <c r="BB43" s="56" t="n"/>
      <c r="BC43" s="56" t="n"/>
      <c r="BD43" s="56" t="inlineStr">
        <is>
          <t>x</t>
        </is>
      </c>
      <c r="BE43" s="56" t="n"/>
      <c r="BF43" s="56" t="n"/>
      <c r="BG43" s="56" t="n"/>
      <c r="BH43" s="56" t="inlineStr">
        <is>
          <t>x</t>
        </is>
      </c>
      <c r="BI43" s="62" t="n"/>
      <c r="BJ43" s="62" t="n"/>
      <c r="BK43" s="62" t="n"/>
      <c r="BL43" s="62" t="n"/>
      <c r="BM43" s="62" t="n"/>
      <c r="BN43" s="62" t="n"/>
      <c r="BO43" s="62" t="n"/>
      <c r="BP43" s="62" t="n"/>
      <c r="BQ43" s="62" t="n"/>
      <c r="BR43" s="62" t="n"/>
      <c r="BS43" s="62" t="n"/>
      <c r="BT43" s="62" t="n"/>
      <c r="BU43" s="62" t="n"/>
      <c r="BV43" s="62" t="n"/>
      <c r="BW43" s="62" t="n"/>
      <c r="BX43" s="62" t="n"/>
      <c r="BY43" s="56" t="n"/>
      <c r="BZ43" s="56" t="n"/>
      <c r="CA43" s="56" t="n"/>
      <c r="CB43" s="56" t="inlineStr">
        <is>
          <t>x</t>
        </is>
      </c>
      <c r="EU43" s="30" t="n"/>
      <c r="EV43" s="30" t="n"/>
      <c r="EW43" s="30" t="n"/>
    </row>
    <row r="44" ht="15" customHeight="1">
      <c r="A44" s="47" t="inlineStr">
        <is>
          <t>Medio de pago</t>
        </is>
      </c>
      <c r="B44" s="62" t="n"/>
      <c r="C44" s="62" t="n"/>
      <c r="D44" s="62" t="n"/>
      <c r="E44" s="62" t="n"/>
      <c r="F44" s="62" t="n"/>
      <c r="G44" s="62" t="n"/>
      <c r="H44" s="62" t="n"/>
      <c r="I44" s="62" t="n"/>
      <c r="J44" s="62" t="n"/>
      <c r="K44" s="62" t="n"/>
      <c r="L44" s="62" t="n"/>
      <c r="M44" s="62" t="n"/>
      <c r="N44" s="62" t="n"/>
      <c r="O44" s="62" t="n"/>
      <c r="P44" s="62" t="n"/>
      <c r="Q44" s="62" t="n"/>
      <c r="R44" s="62" t="n"/>
      <c r="S44" s="62" t="n"/>
      <c r="T44" s="62" t="n"/>
      <c r="U44" s="62" t="n"/>
      <c r="V44" s="62" t="n"/>
      <c r="W44" s="62" t="n"/>
      <c r="X44" s="62" t="n"/>
      <c r="Y44" s="62" t="n"/>
      <c r="Z44" s="62" t="n"/>
      <c r="AA44" s="62" t="n"/>
      <c r="AB44" s="62" t="n"/>
      <c r="AC44" s="62" t="n"/>
      <c r="AD44" s="62" t="n"/>
      <c r="AE44" s="62" t="n"/>
      <c r="AF44" s="62" t="n"/>
      <c r="AG44" s="62" t="n"/>
      <c r="AH44" s="62" t="n"/>
      <c r="AI44" s="62" t="n"/>
      <c r="AJ44" s="62" t="n"/>
      <c r="AK44" s="62" t="n"/>
      <c r="AL44" s="62" t="n"/>
      <c r="AM44" s="62" t="n"/>
      <c r="AN44" s="62" t="n"/>
      <c r="AO44" s="62" t="n"/>
      <c r="AP44" s="62" t="n"/>
      <c r="AQ44" s="62" t="n"/>
      <c r="AR44" s="62" t="n"/>
      <c r="AS44" s="62" t="n"/>
      <c r="AT44" s="62" t="n"/>
      <c r="AU44" s="62" t="n"/>
      <c r="AV44" s="62" t="n"/>
      <c r="AW44" s="62" t="n"/>
      <c r="AX44" s="62" t="n"/>
      <c r="AY44" s="62" t="n"/>
      <c r="AZ44" s="62" t="n"/>
      <c r="BA44" s="62" t="n"/>
      <c r="BB44" s="62" t="n"/>
      <c r="BC44" s="62" t="n"/>
      <c r="BD44" s="62" t="n"/>
      <c r="BE44" s="62"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EU44" s="30" t="n"/>
      <c r="EV44" s="30" t="n"/>
      <c r="EW44" s="30" t="n"/>
    </row>
    <row r="45" ht="15" customHeight="1">
      <c r="A45" s="61" t="inlineStr">
        <is>
          <t>Efectivo</t>
        </is>
      </c>
      <c r="B45" s="56" t="inlineStr">
        <is>
          <t>x</t>
        </is>
      </c>
      <c r="C45" s="56" t="n"/>
      <c r="D45" s="56" t="n"/>
      <c r="E45" s="56" t="n"/>
      <c r="F45" s="56" t="n"/>
      <c r="G45" s="56" t="n"/>
      <c r="H45" s="56" t="n"/>
      <c r="I45" s="56" t="n"/>
      <c r="J45" s="56" t="n"/>
      <c r="K45" s="56" t="inlineStr">
        <is>
          <t>x</t>
        </is>
      </c>
      <c r="L45" s="56" t="n"/>
      <c r="M45" s="56" t="n"/>
      <c r="N45" s="56" t="n"/>
      <c r="O45" s="56" t="n"/>
      <c r="P45" s="56" t="n"/>
      <c r="Q45" s="56" t="n"/>
      <c r="R45" s="56" t="inlineStr">
        <is>
          <t>x</t>
        </is>
      </c>
      <c r="S45" s="56" t="n"/>
      <c r="T45" s="56" t="n"/>
      <c r="U45" s="56" t="n"/>
      <c r="V45" s="56" t="n"/>
      <c r="W45" s="56" t="n"/>
      <c r="X45" s="56" t="inlineStr">
        <is>
          <t>x</t>
        </is>
      </c>
      <c r="Y45" s="56" t="n"/>
      <c r="Z45" s="56" t="n"/>
      <c r="AA45" s="56" t="n"/>
      <c r="AB45" s="56" t="n"/>
      <c r="AC45" s="56" t="inlineStr">
        <is>
          <t>x</t>
        </is>
      </c>
      <c r="AD45" s="56" t="n"/>
      <c r="AE45" s="56" t="n"/>
      <c r="AF45" s="56" t="n"/>
      <c r="AG45" s="56" t="n"/>
      <c r="AH45" s="56" t="inlineStr">
        <is>
          <t>x</t>
        </is>
      </c>
      <c r="AI45" s="56" t="n"/>
      <c r="AJ45" s="56" t="n"/>
      <c r="AK45" s="56" t="n"/>
      <c r="AL45" s="56" t="inlineStr">
        <is>
          <t>x</t>
        </is>
      </c>
      <c r="AM45" s="56" t="n"/>
      <c r="AN45" s="56" t="n"/>
      <c r="AO45" s="56" t="inlineStr">
        <is>
          <t>x</t>
        </is>
      </c>
      <c r="AP45" s="56" t="n"/>
      <c r="AQ45" s="62" t="n"/>
      <c r="AR45" s="62" t="n"/>
      <c r="AS45" s="62" t="n"/>
      <c r="AT45" s="62" t="n"/>
      <c r="AU45" s="62" t="n"/>
      <c r="AV45" s="62" t="n"/>
      <c r="AW45" s="62" t="n"/>
      <c r="AX45" s="62" t="n"/>
      <c r="AY45" s="62" t="n"/>
      <c r="AZ45" s="62" t="n"/>
      <c r="BA45" s="62" t="n"/>
      <c r="BB45" s="62" t="n"/>
      <c r="BC45" s="62" t="n"/>
      <c r="BD45" s="62" t="n"/>
      <c r="BE45" s="62"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EU45" s="30" t="n"/>
      <c r="EV45" s="30" t="n"/>
      <c r="EW45" s="30" t="n"/>
    </row>
    <row r="46" ht="15" customHeight="1">
      <c r="A46" s="61" t="inlineStr">
        <is>
          <t>Cheque</t>
        </is>
      </c>
      <c r="B46" s="56" t="n"/>
      <c r="C46" s="56" t="inlineStr">
        <is>
          <t>x</t>
        </is>
      </c>
      <c r="D46" s="56" t="inlineStr">
        <is>
          <t>x</t>
        </is>
      </c>
      <c r="E46" s="56" t="inlineStr">
        <is>
          <t>x</t>
        </is>
      </c>
      <c r="F46" s="56" t="inlineStr">
        <is>
          <t>x</t>
        </is>
      </c>
      <c r="G46" s="56" t="n"/>
      <c r="H46" s="56" t="n"/>
      <c r="I46" s="56" t="n"/>
      <c r="J46" s="56" t="inlineStr">
        <is>
          <t>x</t>
        </is>
      </c>
      <c r="K46" s="56" t="n"/>
      <c r="L46" s="56" t="inlineStr">
        <is>
          <t>x</t>
        </is>
      </c>
      <c r="M46" s="56" t="n"/>
      <c r="N46" s="56" t="n"/>
      <c r="O46" s="56" t="n"/>
      <c r="P46" s="56" t="inlineStr">
        <is>
          <t>x</t>
        </is>
      </c>
      <c r="Q46" s="56" t="n"/>
      <c r="R46" s="56" t="n"/>
      <c r="S46" s="56" t="inlineStr">
        <is>
          <t>x</t>
        </is>
      </c>
      <c r="T46" s="56" t="n"/>
      <c r="U46" s="56" t="n"/>
      <c r="V46" s="56" t="n"/>
      <c r="W46" s="56" t="inlineStr">
        <is>
          <t>x</t>
        </is>
      </c>
      <c r="X46" s="56" t="n"/>
      <c r="Y46" s="56" t="inlineStr">
        <is>
          <t>x</t>
        </is>
      </c>
      <c r="Z46" s="56" t="n"/>
      <c r="AA46" s="56" t="n"/>
      <c r="AB46" s="56" t="n"/>
      <c r="AC46" s="56" t="n"/>
      <c r="AD46" s="56" t="inlineStr">
        <is>
          <t>x</t>
        </is>
      </c>
      <c r="AE46" s="56" t="n"/>
      <c r="AF46" s="56" t="n"/>
      <c r="AG46" s="56" t="inlineStr">
        <is>
          <t>x</t>
        </is>
      </c>
      <c r="AH46" s="56" t="n"/>
      <c r="AI46" s="56" t="inlineStr">
        <is>
          <t>x</t>
        </is>
      </c>
      <c r="AJ46" s="56" t="n"/>
      <c r="AK46" s="56" t="n"/>
      <c r="AL46" s="56" t="n"/>
      <c r="AM46" s="56" t="n"/>
      <c r="AN46" s="56" t="inlineStr">
        <is>
          <t>x</t>
        </is>
      </c>
      <c r="AO46" s="56" t="n"/>
      <c r="AP46" s="56" t="n"/>
      <c r="AQ46" s="62" t="n"/>
      <c r="AR46" s="62" t="n"/>
      <c r="AS46" s="62" t="n"/>
      <c r="AT46" s="62" t="n"/>
      <c r="AU46" s="62" t="n"/>
      <c r="AV46" s="62" t="n"/>
      <c r="AW46" s="62" t="n"/>
      <c r="AX46" s="62" t="n"/>
      <c r="AY46" s="62" t="n"/>
      <c r="AZ46" s="62" t="n"/>
      <c r="BA46" s="62" t="n"/>
      <c r="BB46" s="62" t="n"/>
      <c r="BC46" s="62" t="n"/>
      <c r="BD46" s="62" t="n"/>
      <c r="BE46" s="62"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EU46" s="30" t="n"/>
      <c r="EV46" s="30" t="n"/>
      <c r="EW46" s="30" t="n"/>
    </row>
    <row r="47" ht="15" customHeight="1">
      <c r="A47" s="61" t="inlineStr">
        <is>
          <t>Ahorro</t>
        </is>
      </c>
      <c r="B47" s="56" t="n"/>
      <c r="C47" s="56" t="n"/>
      <c r="D47" s="56" t="n"/>
      <c r="E47" s="56" t="n"/>
      <c r="F47" s="56" t="n"/>
      <c r="G47" s="56" t="inlineStr">
        <is>
          <t>x</t>
        </is>
      </c>
      <c r="H47" s="56" t="n"/>
      <c r="I47" s="56" t="inlineStr">
        <is>
          <t>x</t>
        </is>
      </c>
      <c r="J47" s="56" t="n"/>
      <c r="K47" s="56" t="n"/>
      <c r="L47" s="56" t="n"/>
      <c r="M47" s="56" t="inlineStr">
        <is>
          <t>x</t>
        </is>
      </c>
      <c r="N47" s="56" t="n"/>
      <c r="O47" s="56" t="inlineStr">
        <is>
          <t>x</t>
        </is>
      </c>
      <c r="P47" s="56" t="n"/>
      <c r="Q47" s="56" t="n"/>
      <c r="R47" s="56" t="n"/>
      <c r="S47" s="56" t="n"/>
      <c r="T47" s="56" t="inlineStr">
        <is>
          <t>x</t>
        </is>
      </c>
      <c r="U47" s="56" t="n"/>
      <c r="V47" s="56" t="inlineStr">
        <is>
          <t>x</t>
        </is>
      </c>
      <c r="W47" s="56" t="n"/>
      <c r="X47" s="56" t="n"/>
      <c r="Y47" s="56" t="n"/>
      <c r="Z47" s="56" t="inlineStr">
        <is>
          <t>x</t>
        </is>
      </c>
      <c r="AA47" s="56" t="n"/>
      <c r="AB47" s="56" t="n"/>
      <c r="AC47" s="56" t="n"/>
      <c r="AD47" s="56" t="n"/>
      <c r="AE47" s="56" t="inlineStr">
        <is>
          <t>x</t>
        </is>
      </c>
      <c r="AF47" s="56" t="n"/>
      <c r="AG47" s="56" t="n"/>
      <c r="AH47" s="56" t="n"/>
      <c r="AI47" s="56" t="n"/>
      <c r="AJ47" s="56" t="inlineStr">
        <is>
          <t>x</t>
        </is>
      </c>
      <c r="AK47" s="56" t="n"/>
      <c r="AL47" s="56" t="n"/>
      <c r="AM47" s="56" t="inlineStr">
        <is>
          <t>x</t>
        </is>
      </c>
      <c r="AN47" s="56" t="n"/>
      <c r="AO47" s="56" t="n"/>
      <c r="AP47" s="56" t="n"/>
      <c r="AQ47" s="62" t="n"/>
      <c r="AR47" s="62" t="n"/>
      <c r="AS47" s="62" t="n"/>
      <c r="AT47" s="62" t="n"/>
      <c r="AU47" s="62" t="n"/>
      <c r="AV47" s="62" t="n"/>
      <c r="AW47" s="62" t="n"/>
      <c r="AX47" s="62" t="n"/>
      <c r="AY47" s="62" t="n"/>
      <c r="AZ47" s="62" t="n"/>
      <c r="BA47" s="62" t="n"/>
      <c r="BB47" s="62" t="n"/>
      <c r="BC47" s="62" t="n"/>
      <c r="BD47" s="62" t="n"/>
      <c r="BE47" s="62"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EU47" s="30" t="n"/>
      <c r="EV47" s="30" t="n"/>
      <c r="EW47" s="30" t="n"/>
    </row>
    <row r="48" ht="15" customHeight="1">
      <c r="A48" s="61" t="inlineStr">
        <is>
          <t>Mixto</t>
        </is>
      </c>
      <c r="B48" s="56" t="n"/>
      <c r="C48" s="56" t="n"/>
      <c r="D48" s="56" t="n"/>
      <c r="E48" s="56" t="n"/>
      <c r="F48" s="56" t="n"/>
      <c r="G48" s="56" t="n"/>
      <c r="H48" s="56" t="inlineStr">
        <is>
          <t>x</t>
        </is>
      </c>
      <c r="I48" s="56" t="n"/>
      <c r="J48" s="56" t="n"/>
      <c r="K48" s="56" t="n"/>
      <c r="L48" s="56" t="n"/>
      <c r="M48" s="56" t="n"/>
      <c r="N48" s="56" t="inlineStr">
        <is>
          <t>x</t>
        </is>
      </c>
      <c r="O48" s="56" t="n"/>
      <c r="P48" s="56" t="n"/>
      <c r="Q48" s="56" t="n"/>
      <c r="R48" s="56" t="n"/>
      <c r="S48" s="56" t="n"/>
      <c r="T48" s="56" t="n"/>
      <c r="U48" s="56" t="inlineStr">
        <is>
          <t>x</t>
        </is>
      </c>
      <c r="V48" s="56" t="n"/>
      <c r="W48" s="56" t="n"/>
      <c r="X48" s="56" t="n"/>
      <c r="Y48" s="56" t="n"/>
      <c r="Z48" s="56" t="n"/>
      <c r="AA48" s="56" t="n"/>
      <c r="AB48" s="56" t="n"/>
      <c r="AC48" s="56" t="n"/>
      <c r="AD48" s="56" t="n"/>
      <c r="AE48" s="56" t="n"/>
      <c r="AF48" s="56" t="inlineStr">
        <is>
          <t>x</t>
        </is>
      </c>
      <c r="AG48" s="56" t="n"/>
      <c r="AH48" s="56" t="n"/>
      <c r="AI48" s="56" t="n"/>
      <c r="AJ48" s="56" t="n"/>
      <c r="AK48" s="56" t="inlineStr">
        <is>
          <t>x</t>
        </is>
      </c>
      <c r="AL48" s="56" t="n"/>
      <c r="AM48" s="56" t="n"/>
      <c r="AN48" s="56" t="n"/>
      <c r="AO48" s="56" t="n"/>
      <c r="AP48" s="56"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EU48" s="30" t="n"/>
      <c r="EV48" s="30" t="n"/>
      <c r="EW48" s="30" t="n"/>
    </row>
    <row r="49" ht="15" customHeight="1">
      <c r="A49" s="47" t="inlineStr">
        <is>
          <t>Importe</t>
        </is>
      </c>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c r="AB49" s="62" t="n"/>
      <c r="AC49" s="62" t="n"/>
      <c r="AD49" s="62" t="n"/>
      <c r="AE49" s="62" t="n"/>
      <c r="AF49" s="62" t="n"/>
      <c r="AG49" s="62" t="n"/>
      <c r="AH49" s="62" t="n"/>
      <c r="AI49" s="62" t="n"/>
      <c r="AJ49" s="62" t="n"/>
      <c r="AK49" s="62" t="n"/>
      <c r="AL49" s="62" t="n"/>
      <c r="AM49" s="62" t="n"/>
      <c r="AN49" s="62" t="n"/>
      <c r="AO49" s="62" t="n"/>
      <c r="AP49" s="62" t="n"/>
      <c r="AQ49" s="62" t="n"/>
      <c r="AR49" s="62" t="n"/>
      <c r="AS49" s="62" t="n"/>
      <c r="AT49" s="62" t="n"/>
      <c r="AU49" s="62" t="n"/>
      <c r="AV49" s="62" t="n"/>
      <c r="AW49" s="62" t="n"/>
      <c r="AX49" s="62" t="n"/>
      <c r="AY49" s="62" t="n"/>
      <c r="AZ49" s="62" t="n"/>
      <c r="BA49" s="62" t="n"/>
      <c r="BB49" s="62" t="n"/>
      <c r="BC49" s="62" t="n"/>
      <c r="BD49" s="62" t="n"/>
      <c r="BE49" s="62"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EU49" s="30" t="n"/>
      <c r="EV49" s="30" t="n"/>
      <c r="EW49" s="30" t="n"/>
    </row>
    <row r="50" ht="15" customHeight="1">
      <c r="A50" s="52" t="inlineStr">
        <is>
          <t>$4.300 COP &lt;=  x &lt;= $9.900.000 COP</t>
        </is>
      </c>
      <c r="B50" s="56" t="inlineStr">
        <is>
          <t>x</t>
        </is>
      </c>
      <c r="C50" s="56" t="inlineStr">
        <is>
          <t>x</t>
        </is>
      </c>
      <c r="D50" s="56" t="inlineStr">
        <is>
          <t>x</t>
        </is>
      </c>
      <c r="E50" s="56" t="inlineStr">
        <is>
          <t>x</t>
        </is>
      </c>
      <c r="F50" s="56" t="n"/>
      <c r="G50" s="56" t="inlineStr">
        <is>
          <t>x</t>
        </is>
      </c>
      <c r="H50" s="56" t="inlineStr">
        <is>
          <t>x</t>
        </is>
      </c>
      <c r="I50" s="56" t="inlineStr">
        <is>
          <t>x</t>
        </is>
      </c>
      <c r="J50" s="56" t="inlineStr">
        <is>
          <t>x</t>
        </is>
      </c>
      <c r="K50" s="56" t="inlineStr">
        <is>
          <t>x</t>
        </is>
      </c>
      <c r="L50" s="56" t="inlineStr">
        <is>
          <t>x</t>
        </is>
      </c>
      <c r="M50" s="56" t="n"/>
      <c r="N50" s="56" t="n"/>
      <c r="O50" s="56" t="n"/>
      <c r="P50" s="56" t="n"/>
      <c r="Q50" s="56" t="n"/>
      <c r="R50" s="56" t="inlineStr">
        <is>
          <t>x</t>
        </is>
      </c>
      <c r="S50" s="56" t="inlineStr">
        <is>
          <t>x</t>
        </is>
      </c>
      <c r="T50" s="56" t="inlineStr">
        <is>
          <t>x</t>
        </is>
      </c>
      <c r="U50" s="56" t="inlineStr">
        <is>
          <t>x</t>
        </is>
      </c>
      <c r="V50" s="56" t="inlineStr">
        <is>
          <t>x</t>
        </is>
      </c>
      <c r="W50" s="56" t="n"/>
      <c r="X50" s="56" t="n"/>
      <c r="Y50" s="56" t="n"/>
      <c r="Z50" s="56" t="n"/>
      <c r="AA50" s="56" t="n"/>
      <c r="AB50" s="56" t="n"/>
      <c r="AC50" s="56" t="inlineStr">
        <is>
          <t>x</t>
        </is>
      </c>
      <c r="AD50" s="56" t="inlineStr">
        <is>
          <t>x</t>
        </is>
      </c>
      <c r="AE50" s="56" t="inlineStr">
        <is>
          <t>x</t>
        </is>
      </c>
      <c r="AF50" s="56" t="inlineStr">
        <is>
          <t>x</t>
        </is>
      </c>
      <c r="AG50" s="56" t="inlineStr">
        <is>
          <t>x</t>
        </is>
      </c>
      <c r="AH50" s="56" t="inlineStr">
        <is>
          <t>x</t>
        </is>
      </c>
      <c r="AI50" s="56" t="inlineStr">
        <is>
          <t>x</t>
        </is>
      </c>
      <c r="AJ50" s="56" t="inlineStr">
        <is>
          <t>x</t>
        </is>
      </c>
      <c r="AK50" s="56" t="inlineStr">
        <is>
          <t>x</t>
        </is>
      </c>
      <c r="AL50" s="56" t="inlineStr">
        <is>
          <t>x</t>
        </is>
      </c>
      <c r="AM50" s="56" t="n"/>
      <c r="AN50" s="56" t="n"/>
      <c r="AO50" s="56" t="n"/>
      <c r="AP50" s="56" t="n"/>
      <c r="AQ50" s="56" t="n"/>
      <c r="AR50" s="56" t="inlineStr">
        <is>
          <t>x</t>
        </is>
      </c>
      <c r="AS50" s="56" t="n"/>
      <c r="AT50" s="56" t="inlineStr">
        <is>
          <t>x</t>
        </is>
      </c>
      <c r="AU50" s="56" t="n"/>
      <c r="AV50" s="56" t="n"/>
      <c r="AW50" s="56" t="inlineStr">
        <is>
          <t>x</t>
        </is>
      </c>
      <c r="AX50" s="56" t="n"/>
      <c r="AY50" s="62" t="n"/>
      <c r="AZ50" s="56" t="n"/>
      <c r="BA50" s="56" t="inlineStr">
        <is>
          <t>x</t>
        </is>
      </c>
      <c r="BB50" s="56" t="n"/>
      <c r="BC50" s="62" t="n"/>
      <c r="BD50" s="56" t="n"/>
      <c r="BE50" s="56" t="inlineStr">
        <is>
          <t>x</t>
        </is>
      </c>
      <c r="BF50" s="56" t="inlineStr">
        <is>
          <t>x</t>
        </is>
      </c>
      <c r="BG50" s="56" t="n"/>
      <c r="BH50" s="56"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EU50" s="30" t="n"/>
      <c r="EV50" s="30" t="n"/>
      <c r="EW50" s="30" t="n"/>
    </row>
    <row r="51" ht="15" customHeight="1">
      <c r="A51" s="52" t="inlineStr">
        <is>
          <t xml:space="preserve"> x &lt; $4.300 COP</t>
        </is>
      </c>
      <c r="B51" s="56" t="n"/>
      <c r="C51" s="56" t="n"/>
      <c r="D51" s="56" t="n"/>
      <c r="E51" s="56" t="n"/>
      <c r="F51" s="56" t="n"/>
      <c r="G51" s="56" t="n"/>
      <c r="H51" s="56" t="n"/>
      <c r="I51" s="56" t="n"/>
      <c r="J51" s="56" t="n"/>
      <c r="K51" s="56" t="n"/>
      <c r="L51" s="56" t="n"/>
      <c r="M51" s="56" t="inlineStr">
        <is>
          <t>x</t>
        </is>
      </c>
      <c r="N51" s="56" t="n"/>
      <c r="O51" s="56" t="n"/>
      <c r="P51" s="56" t="n"/>
      <c r="Q51" s="56" t="n"/>
      <c r="R51" s="56" t="n"/>
      <c r="S51" s="56" t="n"/>
      <c r="T51" s="56" t="n"/>
      <c r="U51" s="56" t="n"/>
      <c r="V51" s="56" t="n"/>
      <c r="W51" s="56" t="inlineStr">
        <is>
          <t>x</t>
        </is>
      </c>
      <c r="X51" s="56" t="n"/>
      <c r="Y51" s="56" t="n"/>
      <c r="Z51" s="56" t="n"/>
      <c r="AA51" s="56" t="n"/>
      <c r="AB51" s="56" t="n"/>
      <c r="AC51" s="56" t="n"/>
      <c r="AD51" s="56" t="n"/>
      <c r="AE51" s="56" t="n"/>
      <c r="AF51" s="56" t="n"/>
      <c r="AG51" s="56" t="n"/>
      <c r="AH51" s="56" t="n"/>
      <c r="AI51" s="56" t="n"/>
      <c r="AJ51" s="56" t="n"/>
      <c r="AK51" s="56" t="n"/>
      <c r="AL51" s="56" t="n"/>
      <c r="AM51" s="56" t="inlineStr">
        <is>
          <t>x</t>
        </is>
      </c>
      <c r="AN51" s="56" t="n"/>
      <c r="AO51" s="56" t="n"/>
      <c r="AP51" s="56" t="n"/>
      <c r="AQ51" s="56" t="n"/>
      <c r="AR51" s="56" t="n"/>
      <c r="AS51" s="56" t="inlineStr">
        <is>
          <t>x</t>
        </is>
      </c>
      <c r="AT51" s="56" t="n"/>
      <c r="AU51" s="56" t="n"/>
      <c r="AV51" s="56" t="n"/>
      <c r="AW51" s="56" t="n"/>
      <c r="AX51" s="56" t="inlineStr">
        <is>
          <t>x</t>
        </is>
      </c>
      <c r="AY51" s="62" t="n"/>
      <c r="AZ51" s="56" t="n"/>
      <c r="BA51" s="56" t="n"/>
      <c r="BB51" s="56" t="inlineStr">
        <is>
          <t>x</t>
        </is>
      </c>
      <c r="BC51" s="62" t="n"/>
      <c r="BD51" s="56" t="n"/>
      <c r="BE51" s="56" t="n"/>
      <c r="BF51" s="56" t="n"/>
      <c r="BG51" s="56" t="n"/>
      <c r="BH51" s="56" t="n"/>
      <c r="BI51" s="62" t="n"/>
      <c r="BJ51" s="62" t="n"/>
      <c r="BK51" s="62" t="n"/>
      <c r="BL51" s="62" t="n"/>
      <c r="BM51" s="62" t="n"/>
      <c r="BN51" s="62" t="n"/>
      <c r="BO51" s="62" t="n"/>
      <c r="BP51" s="62" t="n"/>
      <c r="BQ51" s="62" t="n"/>
      <c r="BR51" s="62" t="n"/>
      <c r="BS51" s="62" t="n"/>
      <c r="BT51" s="62" t="n"/>
      <c r="BU51" s="62" t="n"/>
      <c r="BV51" s="62" t="n"/>
      <c r="BW51" s="62" t="n"/>
      <c r="BX51" s="62" t="n"/>
      <c r="BY51" s="56" t="inlineStr">
        <is>
          <t>x</t>
        </is>
      </c>
      <c r="BZ51" s="56" t="inlineStr">
        <is>
          <t>x</t>
        </is>
      </c>
      <c r="CA51" s="56" t="n"/>
      <c r="CB51" s="56" t="n"/>
      <c r="EU51" s="30" t="n"/>
      <c r="EV51" s="30" t="n"/>
      <c r="EW51" s="30" t="n"/>
    </row>
    <row r="52" ht="15" customHeight="1">
      <c r="A52" s="61" t="inlineStr">
        <is>
          <t>x &gt; $9.900.000 COP</t>
        </is>
      </c>
      <c r="B52" s="56" t="n"/>
      <c r="C52" s="56" t="n"/>
      <c r="D52" s="56" t="n"/>
      <c r="E52" s="56" t="n"/>
      <c r="F52" s="56" t="n"/>
      <c r="G52" s="56" t="n"/>
      <c r="H52" s="56" t="n"/>
      <c r="I52" s="56" t="n"/>
      <c r="J52" s="56" t="n"/>
      <c r="K52" s="56" t="n"/>
      <c r="L52" s="56" t="n"/>
      <c r="M52" s="56" t="n"/>
      <c r="N52" s="56" t="inlineStr">
        <is>
          <t>x</t>
        </is>
      </c>
      <c r="O52" s="56" t="n"/>
      <c r="P52" s="56" t="n"/>
      <c r="Q52" s="56" t="n"/>
      <c r="R52" s="56" t="n"/>
      <c r="S52" s="56" t="n"/>
      <c r="T52" s="56" t="n"/>
      <c r="U52" s="56" t="n"/>
      <c r="V52" s="56" t="n"/>
      <c r="W52" s="56" t="n"/>
      <c r="X52" s="56" t="inlineStr">
        <is>
          <t>x</t>
        </is>
      </c>
      <c r="Y52" s="56" t="n"/>
      <c r="Z52" s="56" t="n"/>
      <c r="AA52" s="56" t="n"/>
      <c r="AB52" s="56" t="n"/>
      <c r="AC52" s="56" t="n"/>
      <c r="AD52" s="56" t="n"/>
      <c r="AE52" s="56" t="n"/>
      <c r="AF52" s="56" t="n"/>
      <c r="AG52" s="56" t="n"/>
      <c r="AH52" s="56" t="n"/>
      <c r="AI52" s="56" t="n"/>
      <c r="AJ52" s="56" t="n"/>
      <c r="AK52" s="56" t="n"/>
      <c r="AL52" s="56" t="n"/>
      <c r="AM52" s="56" t="n"/>
      <c r="AN52" s="56" t="inlineStr">
        <is>
          <t>x</t>
        </is>
      </c>
      <c r="AO52" s="56" t="n"/>
      <c r="AP52" s="56" t="n"/>
      <c r="AQ52" s="56" t="n"/>
      <c r="AR52" s="56" t="n"/>
      <c r="AS52" s="56" t="n"/>
      <c r="AT52" s="56" t="n"/>
      <c r="AU52" s="56" t="inlineStr">
        <is>
          <t>x</t>
        </is>
      </c>
      <c r="AV52" s="56" t="n"/>
      <c r="AW52" s="56" t="n"/>
      <c r="AX52" s="56" t="n"/>
      <c r="AY52" s="62" t="n"/>
      <c r="AZ52" s="56" t="n"/>
      <c r="BA52" s="56" t="n"/>
      <c r="BB52" s="56" t="n"/>
      <c r="BC52" s="62" t="n"/>
      <c r="BD52" s="56" t="n"/>
      <c r="BE52" s="56" t="n"/>
      <c r="BF52" s="56" t="n"/>
      <c r="BG52" s="56" t="inlineStr">
        <is>
          <t>x</t>
        </is>
      </c>
      <c r="BH52" s="56" t="n"/>
      <c r="BI52" s="62" t="n"/>
      <c r="BJ52" s="62" t="n"/>
      <c r="BK52" s="62" t="n"/>
      <c r="BL52" s="62" t="n"/>
      <c r="BM52" s="62" t="n"/>
      <c r="BN52" s="62" t="n"/>
      <c r="BO52" s="62" t="n"/>
      <c r="BP52" s="62" t="n"/>
      <c r="BQ52" s="62" t="n"/>
      <c r="BR52" s="62" t="n"/>
      <c r="BS52" s="62" t="n"/>
      <c r="BT52" s="62" t="n"/>
      <c r="BU52" s="62" t="n"/>
      <c r="BV52" s="62" t="n"/>
      <c r="BW52" s="62" t="n"/>
      <c r="BX52" s="62" t="n"/>
      <c r="BY52" s="56" t="n"/>
      <c r="BZ52" s="56" t="n"/>
      <c r="CA52" s="56" t="n"/>
      <c r="CB52" s="56" t="n"/>
      <c r="EU52" s="30" t="n"/>
      <c r="EV52" s="30" t="n"/>
      <c r="EW52" s="30" t="n"/>
    </row>
    <row r="53" ht="15" customHeight="1">
      <c r="A53" s="61" t="inlineStr">
        <is>
          <t>No válido o vacío</t>
        </is>
      </c>
      <c r="B53" s="56" t="n"/>
      <c r="C53" s="56" t="n"/>
      <c r="D53" s="56" t="n"/>
      <c r="E53" s="56" t="n"/>
      <c r="F53" s="56" t="n"/>
      <c r="G53" s="56" t="n"/>
      <c r="H53" s="56" t="n"/>
      <c r="I53" s="56" t="n"/>
      <c r="J53" s="56" t="n"/>
      <c r="K53" s="56" t="n"/>
      <c r="L53" s="56" t="n"/>
      <c r="M53" s="56" t="n"/>
      <c r="N53" s="56" t="n"/>
      <c r="O53" s="56" t="inlineStr">
        <is>
          <t>x</t>
        </is>
      </c>
      <c r="P53" s="56" t="n"/>
      <c r="Q53" s="56" t="n"/>
      <c r="R53" s="56" t="n"/>
      <c r="S53" s="56" t="n"/>
      <c r="T53" s="56" t="n"/>
      <c r="U53" s="56" t="n"/>
      <c r="V53" s="56" t="n"/>
      <c r="W53" s="56" t="n"/>
      <c r="X53" s="56" t="n"/>
      <c r="Y53" s="56" t="inlineStr">
        <is>
          <t>x</t>
        </is>
      </c>
      <c r="Z53" s="56" t="inlineStr">
        <is>
          <t>x</t>
        </is>
      </c>
      <c r="AA53" s="56" t="n"/>
      <c r="AB53" s="56" t="n"/>
      <c r="AC53" s="56" t="n"/>
      <c r="AD53" s="56" t="n"/>
      <c r="AE53" s="56" t="n"/>
      <c r="AF53" s="56" t="n"/>
      <c r="AG53" s="56" t="n"/>
      <c r="AH53" s="56" t="n"/>
      <c r="AI53" s="56" t="n"/>
      <c r="AJ53" s="56" t="n"/>
      <c r="AK53" s="56" t="n"/>
      <c r="AL53" s="56" t="n"/>
      <c r="AM53" s="56" t="n"/>
      <c r="AN53" s="56" t="n"/>
      <c r="AO53" s="56" t="inlineStr">
        <is>
          <t>x</t>
        </is>
      </c>
      <c r="AP53" s="56" t="n"/>
      <c r="AQ53" s="56" t="n"/>
      <c r="AR53" s="56" t="n"/>
      <c r="AS53" s="56" t="n"/>
      <c r="AT53" s="56" t="n"/>
      <c r="AU53" s="56" t="n"/>
      <c r="AV53" s="56" t="inlineStr">
        <is>
          <t>x</t>
        </is>
      </c>
      <c r="AW53" s="56" t="n"/>
      <c r="AX53" s="56" t="n"/>
      <c r="AY53" s="62" t="n"/>
      <c r="AZ53" s="56" t="inlineStr">
        <is>
          <t>x</t>
        </is>
      </c>
      <c r="BA53" s="56" t="n"/>
      <c r="BB53" s="56" t="n"/>
      <c r="BC53" s="62" t="n"/>
      <c r="BD53" s="56" t="inlineStr">
        <is>
          <t>x</t>
        </is>
      </c>
      <c r="BE53" s="56" t="n"/>
      <c r="BF53" s="56" t="n"/>
      <c r="BG53" s="56" t="n"/>
      <c r="BH53" s="56" t="inlineStr">
        <is>
          <t>x</t>
        </is>
      </c>
      <c r="BI53" s="62" t="n"/>
      <c r="BJ53" s="62" t="n"/>
      <c r="BK53" s="62" t="n"/>
      <c r="BL53" s="62" t="n"/>
      <c r="BM53" s="62" t="n"/>
      <c r="BN53" s="62" t="n"/>
      <c r="BO53" s="62" t="n"/>
      <c r="BP53" s="62" t="n"/>
      <c r="BQ53" s="62" t="n"/>
      <c r="BR53" s="62" t="n"/>
      <c r="BS53" s="62" t="n"/>
      <c r="BT53" s="62" t="n"/>
      <c r="BU53" s="62" t="n"/>
      <c r="BV53" s="62" t="n"/>
      <c r="BW53" s="62" t="n"/>
      <c r="BX53" s="62" t="n"/>
      <c r="BY53" s="56" t="n"/>
      <c r="BZ53" s="56" t="n"/>
      <c r="CA53" s="56" t="n"/>
      <c r="CB53" s="56" t="inlineStr">
        <is>
          <t>x</t>
        </is>
      </c>
      <c r="EU53" s="30" t="n"/>
      <c r="EV53" s="30" t="n"/>
      <c r="EW53" s="30" t="n"/>
    </row>
    <row r="54" ht="15" customHeight="1">
      <c r="A54" s="47" t="inlineStr">
        <is>
          <t>Subcuenta (Pago Ahorro)</t>
        </is>
      </c>
      <c r="B54" s="62" t="n"/>
      <c r="C54" s="62" t="n"/>
      <c r="D54" s="62" t="n"/>
      <c r="E54" s="62" t="n"/>
      <c r="F54" s="62" t="n"/>
      <c r="G54" s="62" t="n"/>
      <c r="H54" s="62" t="n"/>
      <c r="I54" s="62" t="n"/>
      <c r="J54" s="62" t="n"/>
      <c r="K54" s="62" t="n"/>
      <c r="L54" s="62" t="n"/>
      <c r="M54" s="62" t="n"/>
      <c r="N54" s="62" t="n"/>
      <c r="O54" s="62" t="n"/>
      <c r="P54" s="62" t="n"/>
      <c r="Q54" s="62" t="n"/>
      <c r="R54" s="62" t="n"/>
      <c r="S54" s="62" t="n"/>
      <c r="T54" s="62" t="n"/>
      <c r="U54" s="62" t="n"/>
      <c r="V54" s="62" t="n"/>
      <c r="W54" s="62" t="n"/>
      <c r="X54" s="62" t="n"/>
      <c r="Y54" s="62" t="n"/>
      <c r="Z54" s="62" t="n"/>
      <c r="AA54" s="62" t="n"/>
      <c r="AB54" s="62" t="n"/>
      <c r="AC54" s="62" t="n"/>
      <c r="AD54" s="62" t="n"/>
      <c r="AE54" s="62" t="n"/>
      <c r="AF54" s="62" t="n"/>
      <c r="AG54" s="62" t="n"/>
      <c r="AH54" s="62" t="n"/>
      <c r="AI54" s="62" t="n"/>
      <c r="AJ54" s="62" t="n"/>
      <c r="AK54" s="62" t="n"/>
      <c r="AL54" s="62" t="n"/>
      <c r="AM54" s="62" t="n"/>
      <c r="AN54" s="62" t="n"/>
      <c r="AO54" s="62" t="n"/>
      <c r="AP54" s="62" t="n"/>
      <c r="AQ54" s="62" t="n"/>
      <c r="AR54" s="62" t="n"/>
      <c r="AS54" s="62" t="n"/>
      <c r="AT54" s="62" t="n"/>
      <c r="AU54" s="62" t="n"/>
      <c r="AV54" s="62" t="n"/>
      <c r="AW54" s="62" t="n"/>
      <c r="AX54" s="62" t="n"/>
      <c r="AY54" s="62" t="n"/>
      <c r="AZ54" s="62" t="n"/>
      <c r="BA54" s="62" t="n"/>
      <c r="BB54" s="62" t="n"/>
      <c r="BC54" s="62" t="n"/>
      <c r="BD54" s="62" t="n"/>
      <c r="BE54" s="62" t="n"/>
      <c r="BF54" s="62" t="n"/>
      <c r="BG54" s="62" t="n"/>
      <c r="BH54" s="62" t="n"/>
      <c r="BI54" s="62" t="n"/>
      <c r="BJ54" s="62" t="n"/>
      <c r="BK54" s="62" t="n"/>
      <c r="BL54" s="62" t="n"/>
      <c r="BM54" s="62" t="n"/>
      <c r="BN54" s="62" t="n"/>
      <c r="BO54" s="62" t="n"/>
      <c r="BP54" s="62" t="n"/>
      <c r="BQ54" s="62" t="n"/>
      <c r="BR54" s="62" t="n"/>
      <c r="BS54" s="62" t="n"/>
      <c r="BT54" s="62" t="n"/>
      <c r="BU54" s="62" t="n"/>
      <c r="BV54" s="62" t="n"/>
      <c r="BW54" s="62" t="n"/>
      <c r="BX54" s="62" t="n"/>
      <c r="BY54" s="62" t="n"/>
      <c r="BZ54" s="62" t="n"/>
      <c r="CA54" s="62" t="n"/>
      <c r="CB54" s="62" t="n"/>
      <c r="EU54" s="30" t="n"/>
      <c r="EV54" s="30" t="n"/>
      <c r="EW54" s="30" t="n"/>
    </row>
    <row r="55" ht="15" customHeight="1">
      <c r="A55" s="52" t="inlineStr">
        <is>
          <t>Seleccionada y válida</t>
        </is>
      </c>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2" t="n"/>
      <c r="BZ55" s="62" t="n"/>
      <c r="CA55" s="62" t="n"/>
      <c r="CB55" s="62" t="n"/>
      <c r="EU55" s="30" t="n"/>
      <c r="EV55" s="30" t="n"/>
      <c r="EW55" s="30" t="n"/>
    </row>
    <row r="56" ht="15" customHeight="1">
      <c r="A56" s="52" t="inlineStr">
        <is>
          <t>No válida o vacía</t>
        </is>
      </c>
      <c r="B56" s="62" t="n"/>
      <c r="C56" s="62" t="n"/>
      <c r="D56" s="62" t="n"/>
      <c r="E56" s="62" t="n"/>
      <c r="F56" s="62" t="n"/>
      <c r="G56" s="62" t="n"/>
      <c r="H56" s="62" t="n"/>
      <c r="I56" s="62" t="n"/>
      <c r="J56" s="62" t="n"/>
      <c r="K56" s="62" t="n"/>
      <c r="L56" s="62" t="n"/>
      <c r="M56" s="62" t="n"/>
      <c r="N56" s="62" t="n"/>
      <c r="O56" s="62" t="n"/>
      <c r="P56" s="62" t="n"/>
      <c r="Q56" s="62" t="n"/>
      <c r="R56" s="62" t="n"/>
      <c r="S56" s="62" t="n"/>
      <c r="T56" s="62" t="n"/>
      <c r="U56" s="62" t="n"/>
      <c r="V56" s="62" t="n"/>
      <c r="W56" s="62" t="n"/>
      <c r="X56" s="62" t="n"/>
      <c r="Y56" s="62" t="n"/>
      <c r="Z56" s="62" t="n"/>
      <c r="AA56" s="62" t="n"/>
      <c r="AB56" s="62" t="n"/>
      <c r="AC56" s="62" t="n"/>
      <c r="AD56" s="62" t="n"/>
      <c r="AE56" s="62" t="n"/>
      <c r="AF56" s="62" t="n"/>
      <c r="AG56" s="62" t="n"/>
      <c r="AH56" s="62" t="n"/>
      <c r="AI56" s="62" t="n"/>
      <c r="AJ56" s="62" t="n"/>
      <c r="AK56" s="62" t="n"/>
      <c r="AL56" s="62" t="n"/>
      <c r="AM56" s="62" t="n"/>
      <c r="AN56" s="62" t="n"/>
      <c r="AO56" s="62" t="n"/>
      <c r="AP56" s="62" t="n"/>
      <c r="AQ56" s="62" t="n"/>
      <c r="AR56" s="62" t="n"/>
      <c r="AS56" s="62" t="n"/>
      <c r="AT56" s="62" t="n"/>
      <c r="AU56" s="62" t="n"/>
      <c r="AV56" s="62" t="n"/>
      <c r="AW56" s="62" t="n"/>
      <c r="AX56" s="62" t="n"/>
      <c r="AY56" s="62" t="n"/>
      <c r="AZ56" s="62" t="n"/>
      <c r="BA56" s="62" t="n"/>
      <c r="BB56" s="62" t="n"/>
      <c r="BC56" s="62" t="n"/>
      <c r="BD56" s="62" t="n"/>
      <c r="BE56" s="62" t="n"/>
      <c r="BF56" s="62" t="n"/>
      <c r="BG56" s="62" t="n"/>
      <c r="BH56" s="62" t="n"/>
      <c r="BI56" s="62" t="n"/>
      <c r="BJ56" s="62" t="n"/>
      <c r="BK56" s="62" t="n"/>
      <c r="BL56" s="62" t="n"/>
      <c r="BM56" s="62" t="n"/>
      <c r="BN56" s="62" t="n"/>
      <c r="BO56" s="62" t="n"/>
      <c r="BP56" s="62" t="n"/>
      <c r="BQ56" s="62" t="n"/>
      <c r="BR56" s="62" t="n"/>
      <c r="BS56" s="62" t="n"/>
      <c r="BT56" s="62" t="n"/>
      <c r="BU56" s="62" t="n"/>
      <c r="BV56" s="62" t="n"/>
      <c r="BW56" s="62" t="n"/>
      <c r="BX56" s="62" t="n"/>
      <c r="BY56" s="62" t="n"/>
      <c r="BZ56" s="62" t="n"/>
      <c r="CA56" s="62" t="n"/>
      <c r="CB56" s="62" t="n"/>
      <c r="EU56" s="30" t="n"/>
      <c r="EV56" s="30" t="n"/>
      <c r="EW56" s="30" t="n"/>
    </row>
    <row r="57" ht="15" customHeight="1">
      <c r="A57" s="47" t="inlineStr">
        <is>
          <t>Selección Titular/Beneficiario</t>
        </is>
      </c>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c r="AB57" s="62" t="n"/>
      <c r="AC57" s="62" t="n"/>
      <c r="AD57" s="62" t="n"/>
      <c r="AE57" s="62" t="n"/>
      <c r="AF57" s="62" t="n"/>
      <c r="AG57" s="62" t="n"/>
      <c r="AH57" s="62" t="n"/>
      <c r="AI57" s="62" t="n"/>
      <c r="AJ57" s="62" t="n"/>
      <c r="AK57" s="62" t="n"/>
      <c r="AL57" s="62" t="n"/>
      <c r="AM57" s="62" t="n"/>
      <c r="AN57" s="62" t="n"/>
      <c r="AO57" s="62" t="n"/>
      <c r="AP57" s="62" t="n"/>
      <c r="AQ57" s="62" t="n"/>
      <c r="AR57" s="62" t="n"/>
      <c r="AS57" s="62" t="n"/>
      <c r="AT57" s="62" t="n"/>
      <c r="AU57" s="62" t="n"/>
      <c r="AV57" s="62" t="n"/>
      <c r="AW57" s="62" t="n"/>
      <c r="AX57" s="62" t="n"/>
      <c r="AY57" s="62" t="n"/>
      <c r="AZ57" s="62" t="n"/>
      <c r="BA57" s="62" t="n"/>
      <c r="BB57" s="62" t="n"/>
      <c r="BC57" s="62" t="n"/>
      <c r="BD57" s="62" t="n"/>
      <c r="BE57" s="62" t="n"/>
      <c r="BF57" s="62" t="n"/>
      <c r="BG57" s="62" t="n"/>
      <c r="BH57" s="62" t="n"/>
      <c r="BI57" s="62" t="n"/>
      <c r="BJ57" s="62" t="n"/>
      <c r="BK57" s="62" t="n"/>
      <c r="BL57" s="62" t="n"/>
      <c r="BM57" s="62" t="n"/>
      <c r="BN57" s="62" t="n"/>
      <c r="BO57" s="62" t="n"/>
      <c r="BP57" s="62" t="n"/>
      <c r="BQ57" s="62" t="n"/>
      <c r="BR57" s="62" t="n"/>
      <c r="BS57" s="62" t="n"/>
      <c r="BT57" s="62" t="n"/>
      <c r="BU57" s="62" t="n"/>
      <c r="BV57" s="62" t="n"/>
      <c r="BW57" s="62" t="n"/>
      <c r="BX57" s="62" t="n"/>
      <c r="BY57" s="62" t="n"/>
      <c r="BZ57" s="62" t="n"/>
      <c r="CA57" s="62" t="n"/>
      <c r="CB57" s="62" t="n"/>
      <c r="EU57" s="30" t="n"/>
      <c r="EV57" s="30" t="n"/>
      <c r="EW57" s="30" t="n"/>
    </row>
    <row r="58" ht="15" customHeight="1">
      <c r="A58" s="52" t="inlineStr">
        <is>
          <t>Titular</t>
        </is>
      </c>
      <c r="B58" s="56" t="inlineStr">
        <is>
          <t>x</t>
        </is>
      </c>
      <c r="C58" s="56" t="n"/>
      <c r="D58" s="56" t="n"/>
      <c r="E58" s="56" t="n"/>
      <c r="F58" s="56" t="inlineStr">
        <is>
          <t>x</t>
        </is>
      </c>
      <c r="G58" s="56" t="inlineStr">
        <is>
          <t>x</t>
        </is>
      </c>
      <c r="H58" s="56" t="n"/>
      <c r="I58" s="56" t="inlineStr">
        <is>
          <t>x</t>
        </is>
      </c>
      <c r="J58" s="56" t="n"/>
      <c r="K58" s="56" t="inlineStr">
        <is>
          <t>x</t>
        </is>
      </c>
      <c r="L58" s="56" t="n"/>
      <c r="M58" s="56" t="n"/>
      <c r="N58" s="56" t="n"/>
      <c r="O58" s="56" t="n"/>
      <c r="P58" s="56" t="inlineStr">
        <is>
          <t>x</t>
        </is>
      </c>
      <c r="Q58" s="56" t="n"/>
      <c r="R58" s="56" t="inlineStr">
        <is>
          <t>x</t>
        </is>
      </c>
      <c r="S58" s="56" t="n"/>
      <c r="T58" s="56" t="inlineStr">
        <is>
          <t>x</t>
        </is>
      </c>
      <c r="U58" s="56" t="n"/>
      <c r="V58" s="56" t="inlineStr">
        <is>
          <t>x</t>
        </is>
      </c>
      <c r="W58" s="56" t="n"/>
      <c r="X58" s="56" t="n"/>
      <c r="Y58" s="56" t="n"/>
      <c r="Z58" s="56" t="n"/>
      <c r="AA58" s="56" t="n"/>
      <c r="AB58" s="56" t="n"/>
      <c r="AC58" s="56" t="inlineStr">
        <is>
          <t>x</t>
        </is>
      </c>
      <c r="AD58" s="56" t="n"/>
      <c r="AE58" s="56" t="inlineStr">
        <is>
          <t>x</t>
        </is>
      </c>
      <c r="AF58" s="56" t="n"/>
      <c r="AG58" s="56" t="n"/>
      <c r="AH58" s="56" t="inlineStr">
        <is>
          <t>x</t>
        </is>
      </c>
      <c r="AI58" s="56" t="n"/>
      <c r="AJ58" s="56" t="inlineStr">
        <is>
          <t>x</t>
        </is>
      </c>
      <c r="AK58" s="56" t="n"/>
      <c r="AL58" s="56" t="inlineStr">
        <is>
          <t>x</t>
        </is>
      </c>
      <c r="AM58" s="56" t="inlineStr">
        <is>
          <t>x</t>
        </is>
      </c>
      <c r="AN58" s="56" t="n"/>
      <c r="AO58" s="56" t="inlineStr">
        <is>
          <t>x</t>
        </is>
      </c>
      <c r="AP58" s="62" t="n"/>
      <c r="AQ58" s="62" t="n"/>
      <c r="AR58" s="62" t="n"/>
      <c r="AS58" s="62" t="n"/>
      <c r="AT58" s="62" t="n"/>
      <c r="AU58" s="62" t="n"/>
      <c r="AV58" s="62" t="n"/>
      <c r="AW58" s="62" t="n"/>
      <c r="AX58" s="62" t="n"/>
      <c r="AY58" s="62" t="n"/>
      <c r="AZ58" s="62" t="n"/>
      <c r="BA58" s="62" t="n"/>
      <c r="BB58" s="62" t="n"/>
      <c r="BC58" s="62" t="n"/>
      <c r="BD58" s="62" t="n"/>
      <c r="BE58" s="62" t="n"/>
      <c r="BF58" s="62" t="n"/>
      <c r="BG58" s="62" t="n"/>
      <c r="BH58" s="62" t="n"/>
      <c r="BI58" s="62" t="n"/>
      <c r="BJ58" s="62" t="n"/>
      <c r="BK58" s="62" t="n"/>
      <c r="BL58" s="62" t="n"/>
      <c r="BM58" s="62" t="n"/>
      <c r="BN58" s="62" t="n"/>
      <c r="BO58" s="62" t="n"/>
      <c r="BP58" s="62" t="n"/>
      <c r="BQ58" s="62" t="n"/>
      <c r="BR58" s="62" t="n"/>
      <c r="BS58" s="62" t="n"/>
      <c r="BT58" s="62" t="n"/>
      <c r="BU58" s="62" t="n"/>
      <c r="BV58" s="62" t="n"/>
      <c r="BW58" s="62" t="n"/>
      <c r="BX58" s="62" t="n"/>
      <c r="BY58" s="62" t="n"/>
      <c r="BZ58" s="62" t="n"/>
      <c r="CA58" s="62" t="n"/>
      <c r="CB58" s="62" t="n"/>
      <c r="EU58" s="30" t="n"/>
      <c r="EV58" s="30" t="n"/>
      <c r="EW58" s="30" t="n"/>
    </row>
    <row r="59" ht="15" customHeight="1">
      <c r="A59" s="52" t="inlineStr">
        <is>
          <t>Beneficiario</t>
        </is>
      </c>
      <c r="B59" s="56" t="n"/>
      <c r="C59" s="56" t="inlineStr">
        <is>
          <t>x</t>
        </is>
      </c>
      <c r="D59" s="56" t="inlineStr">
        <is>
          <t>x</t>
        </is>
      </c>
      <c r="E59" s="56" t="inlineStr">
        <is>
          <t>x</t>
        </is>
      </c>
      <c r="F59" s="56" t="n"/>
      <c r="G59" s="56" t="n"/>
      <c r="H59" s="56" t="inlineStr">
        <is>
          <t>x</t>
        </is>
      </c>
      <c r="I59" s="56" t="n"/>
      <c r="J59" s="56" t="inlineStr">
        <is>
          <t>x</t>
        </is>
      </c>
      <c r="K59" s="56" t="n"/>
      <c r="L59" s="56" t="inlineStr">
        <is>
          <t>x</t>
        </is>
      </c>
      <c r="M59" s="56" t="n"/>
      <c r="N59" s="56" t="n"/>
      <c r="O59" s="56" t="n"/>
      <c r="P59" s="56" t="n"/>
      <c r="Q59" s="56" t="n"/>
      <c r="R59" s="56" t="n"/>
      <c r="S59" s="56" t="inlineStr">
        <is>
          <t>x</t>
        </is>
      </c>
      <c r="T59" s="56" t="n"/>
      <c r="U59" s="56" t="inlineStr">
        <is>
          <t>x</t>
        </is>
      </c>
      <c r="V59" s="56" t="n"/>
      <c r="W59" s="56" t="n"/>
      <c r="X59" s="56" t="n"/>
      <c r="Y59" s="56" t="n"/>
      <c r="Z59" s="56" t="n"/>
      <c r="AA59" s="56" t="n"/>
      <c r="AB59" s="56" t="n"/>
      <c r="AC59" s="56" t="n"/>
      <c r="AD59" s="56" t="inlineStr">
        <is>
          <t>x</t>
        </is>
      </c>
      <c r="AE59" s="56" t="n"/>
      <c r="AF59" s="56" t="inlineStr">
        <is>
          <t>x</t>
        </is>
      </c>
      <c r="AG59" s="56" t="inlineStr">
        <is>
          <t>x</t>
        </is>
      </c>
      <c r="AH59" s="56" t="n"/>
      <c r="AI59" s="56" t="inlineStr">
        <is>
          <t>x</t>
        </is>
      </c>
      <c r="AJ59" s="56" t="n"/>
      <c r="AK59" s="56" t="inlineStr">
        <is>
          <t>x</t>
        </is>
      </c>
      <c r="AL59" s="56" t="n"/>
      <c r="AM59" s="56" t="n"/>
      <c r="AN59" s="56" t="inlineStr">
        <is>
          <t>x</t>
        </is>
      </c>
      <c r="AO59" s="56" t="n"/>
      <c r="AP59" s="62" t="n"/>
      <c r="AQ59" s="62" t="n"/>
      <c r="AR59" s="62" t="n"/>
      <c r="AS59" s="62" t="n"/>
      <c r="AT59" s="62" t="n"/>
      <c r="AU59" s="62" t="n"/>
      <c r="AV59" s="62" t="n"/>
      <c r="AW59" s="62" t="n"/>
      <c r="AX59" s="62" t="n"/>
      <c r="AY59" s="62" t="n"/>
      <c r="AZ59" s="62" t="n"/>
      <c r="BA59" s="62" t="n"/>
      <c r="BB59" s="62" t="n"/>
      <c r="BC59" s="62" t="n"/>
      <c r="BD59" s="62" t="n"/>
      <c r="BE59" s="62" t="n"/>
      <c r="BF59" s="62" t="n"/>
      <c r="BG59" s="62" t="n"/>
      <c r="BH59" s="62" t="n"/>
      <c r="BI59" s="62" t="n"/>
      <c r="BJ59" s="62" t="n"/>
      <c r="BK59" s="62" t="n"/>
      <c r="BL59" s="62" t="n"/>
      <c r="BM59" s="62" t="n"/>
      <c r="BN59" s="62" t="n"/>
      <c r="BO59" s="62" t="n"/>
      <c r="BP59" s="62" t="n"/>
      <c r="BQ59" s="62" t="n"/>
      <c r="BR59" s="62" t="n"/>
      <c r="BS59" s="62" t="n"/>
      <c r="BT59" s="62" t="n"/>
      <c r="BU59" s="62" t="n"/>
      <c r="BV59" s="62" t="n"/>
      <c r="BW59" s="62" t="n"/>
      <c r="BX59" s="62" t="n"/>
      <c r="BY59" s="62" t="n"/>
      <c r="BZ59" s="62" t="n"/>
      <c r="CA59" s="62" t="n"/>
      <c r="CB59" s="62" t="n"/>
      <c r="EU59" s="30" t="n"/>
      <c r="EV59" s="30" t="n"/>
      <c r="EW59" s="30" t="n"/>
    </row>
    <row r="60" ht="15" customHeight="1">
      <c r="A60" s="47" t="inlineStr">
        <is>
          <t>Tipo de documento lde beneficiario (duda)</t>
        </is>
      </c>
      <c r="U60" s="62" t="n"/>
      <c r="V60" s="62" t="n"/>
      <c r="W60" s="62" t="n"/>
      <c r="X60" s="62" t="n"/>
      <c r="Y60" s="62" t="n"/>
      <c r="Z60" s="62" t="n"/>
      <c r="AA60" s="62" t="n"/>
      <c r="AB60" s="62" t="n"/>
      <c r="AF60" s="62" t="n"/>
      <c r="AG60" s="62" t="n"/>
      <c r="AK60" s="62" t="n"/>
      <c r="AL60" s="62" t="n"/>
      <c r="AN60" s="62" t="n"/>
      <c r="AP60" s="62" t="n"/>
      <c r="AQ60" s="62" t="n"/>
      <c r="AR60" s="62" t="n"/>
      <c r="AS60" s="62" t="n"/>
      <c r="AT60" s="62" t="n"/>
      <c r="AU60" s="62" t="n"/>
      <c r="AV60" s="62" t="n"/>
      <c r="AW60" s="62" t="n"/>
      <c r="AX60" s="62" t="n"/>
      <c r="AY60" s="62" t="n"/>
      <c r="AZ60" s="62" t="n"/>
      <c r="BA60" s="62" t="n"/>
      <c r="BB60" s="62" t="n"/>
      <c r="BC60" s="62" t="n"/>
      <c r="BD60" s="62" t="n"/>
      <c r="BE60" s="62" t="n"/>
      <c r="BF60" s="62" t="n"/>
      <c r="BG60" s="62" t="n"/>
      <c r="BH60" s="62" t="n"/>
      <c r="BI60" s="62" t="n"/>
      <c r="BJ60" s="62" t="n"/>
      <c r="BK60" s="62" t="n"/>
      <c r="BL60" s="62" t="n"/>
      <c r="BM60" s="62" t="n"/>
      <c r="BN60" s="62" t="n"/>
      <c r="BO60" s="62" t="n"/>
      <c r="BP60" s="62" t="n"/>
      <c r="BQ60" s="62" t="n"/>
      <c r="BR60" s="62" t="n"/>
      <c r="BS60" s="62" t="n"/>
      <c r="BT60" s="62" t="n"/>
      <c r="BU60" s="62" t="n"/>
      <c r="BV60" s="62" t="n"/>
      <c r="BW60" s="62" t="n"/>
      <c r="BX60" s="62" t="n"/>
      <c r="BY60" s="62" t="n"/>
      <c r="BZ60" s="62" t="n"/>
      <c r="CA60" s="62" t="n"/>
      <c r="CB60" s="62" t="n"/>
      <c r="EU60" s="30" t="n"/>
      <c r="EV60" s="30" t="n"/>
      <c r="EW60" s="30" t="n"/>
    </row>
    <row r="61" ht="15" customHeight="1">
      <c r="A61" s="52" t="inlineStr">
        <is>
          <t>Cédula de ciudadanía</t>
        </is>
      </c>
      <c r="B61" s="56" t="inlineStr">
        <is>
          <t>x</t>
        </is>
      </c>
      <c r="C61" s="56" t="inlineStr">
        <is>
          <t>x</t>
        </is>
      </c>
      <c r="D61" s="56" t="n"/>
      <c r="E61" s="56" t="n"/>
      <c r="F61" s="56" t="n"/>
      <c r="G61" s="56" t="n"/>
      <c r="H61" s="56" t="inlineStr">
        <is>
          <t>x</t>
        </is>
      </c>
      <c r="I61" s="56" t="n"/>
      <c r="J61" s="56" t="n"/>
      <c r="K61" s="56" t="n"/>
      <c r="L61" s="56" t="inlineStr">
        <is>
          <t>x</t>
        </is>
      </c>
      <c r="M61" s="56" t="n"/>
      <c r="N61" s="56" t="n"/>
      <c r="O61" s="56" t="n"/>
      <c r="P61" s="56" t="n"/>
      <c r="Q61" s="56" t="n"/>
      <c r="R61" s="56" t="inlineStr">
        <is>
          <t>x</t>
        </is>
      </c>
      <c r="S61" s="56" t="n"/>
      <c r="T61" s="56" t="n"/>
      <c r="U61" s="56" t="inlineStr">
        <is>
          <t>x</t>
        </is>
      </c>
      <c r="V61" s="56" t="n"/>
      <c r="W61" s="56" t="n"/>
      <c r="X61" s="56" t="n"/>
      <c r="Y61" s="56" t="n"/>
      <c r="Z61" s="56" t="n"/>
      <c r="AA61" s="56" t="n"/>
      <c r="AB61" s="56" t="n"/>
      <c r="AC61" s="56" t="inlineStr">
        <is>
          <t>x</t>
        </is>
      </c>
      <c r="AD61" s="56" t="n"/>
      <c r="AE61" s="56" t="n"/>
      <c r="AF61" s="56" t="inlineStr">
        <is>
          <t>x</t>
        </is>
      </c>
      <c r="AG61" s="56" t="n"/>
      <c r="AH61" s="56" t="inlineStr">
        <is>
          <t>x</t>
        </is>
      </c>
      <c r="AI61" s="56" t="n"/>
      <c r="AJ61" s="56" t="n"/>
      <c r="AK61" s="56" t="inlineStr">
        <is>
          <t>x</t>
        </is>
      </c>
      <c r="AL61" s="56" t="inlineStr">
        <is>
          <t>x</t>
        </is>
      </c>
      <c r="AM61" s="56" t="n"/>
      <c r="AN61" s="56" t="inlineStr">
        <is>
          <t>x</t>
        </is>
      </c>
      <c r="AO61" s="56"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2" t="n"/>
      <c r="BZ61" s="62" t="n"/>
      <c r="CA61" s="62" t="n"/>
      <c r="CB61" s="62" t="n"/>
      <c r="EU61" s="30" t="n"/>
      <c r="EV61" s="30" t="n"/>
      <c r="EW61" s="30" t="n"/>
    </row>
    <row r="62" ht="15" customHeight="1">
      <c r="A62" s="52" t="inlineStr">
        <is>
          <t>Cédula de extrangería</t>
        </is>
      </c>
      <c r="B62" s="56" t="n"/>
      <c r="C62" s="56" t="n"/>
      <c r="D62" s="56" t="inlineStr">
        <is>
          <t>x</t>
        </is>
      </c>
      <c r="E62" s="56" t="n"/>
      <c r="F62" s="56" t="n"/>
      <c r="G62" s="56" t="n"/>
      <c r="H62" s="56" t="n"/>
      <c r="I62" s="56" t="inlineStr">
        <is>
          <t>x</t>
        </is>
      </c>
      <c r="J62" s="56" t="n"/>
      <c r="K62" s="56" t="inlineStr">
        <is>
          <t>x</t>
        </is>
      </c>
      <c r="L62" s="56" t="n"/>
      <c r="M62" s="56" t="n"/>
      <c r="N62" s="56" t="n"/>
      <c r="O62" s="56" t="n"/>
      <c r="P62" s="56" t="n"/>
      <c r="Q62" s="56" t="n"/>
      <c r="R62" s="56" t="n"/>
      <c r="S62" s="56" t="inlineStr">
        <is>
          <t>x</t>
        </is>
      </c>
      <c r="T62" s="56" t="n"/>
      <c r="U62" s="56" t="n"/>
      <c r="V62" s="56" t="inlineStr">
        <is>
          <t>x</t>
        </is>
      </c>
      <c r="W62" s="56" t="n"/>
      <c r="X62" s="56" t="n"/>
      <c r="Y62" s="56" t="n"/>
      <c r="Z62" s="56" t="n"/>
      <c r="AA62" s="56" t="n"/>
      <c r="AB62" s="56" t="n"/>
      <c r="AC62" s="56" t="n"/>
      <c r="AD62" s="56" t="inlineStr">
        <is>
          <t>x</t>
        </is>
      </c>
      <c r="AE62" s="56" t="n"/>
      <c r="AF62" s="56" t="n"/>
      <c r="AG62" s="56" t="n"/>
      <c r="AH62" s="56" t="n"/>
      <c r="AI62" s="56" t="inlineStr">
        <is>
          <t>x</t>
        </is>
      </c>
      <c r="AJ62" s="56" t="n"/>
      <c r="AK62" s="56" t="n"/>
      <c r="AL62" s="56" t="n"/>
      <c r="AM62" s="56" t="n"/>
      <c r="AN62" s="56" t="n"/>
      <c r="AO62" s="56" t="n"/>
      <c r="AP62" s="62" t="n"/>
      <c r="AQ62" s="62" t="n"/>
      <c r="AR62" s="62" t="n"/>
      <c r="AS62" s="62" t="n"/>
      <c r="AT62" s="62" t="n"/>
      <c r="AU62" s="62" t="n"/>
      <c r="AV62" s="62" t="n"/>
      <c r="AW62" s="62" t="n"/>
      <c r="AX62" s="62" t="n"/>
      <c r="AY62" s="62" t="n"/>
      <c r="AZ62" s="62" t="n"/>
      <c r="BA62" s="62" t="n"/>
      <c r="BB62" s="62" t="n"/>
      <c r="BC62" s="62" t="n"/>
      <c r="BD62" s="62" t="n"/>
      <c r="BE62" s="62" t="n"/>
      <c r="BF62" s="62" t="n"/>
      <c r="BG62" s="62" t="n"/>
      <c r="BH62" s="62" t="n"/>
      <c r="BI62" s="62" t="n"/>
      <c r="BJ62" s="62" t="n"/>
      <c r="BK62" s="62" t="n"/>
      <c r="BL62" s="62" t="n"/>
      <c r="BM62" s="62" t="n"/>
      <c r="BN62" s="62" t="n"/>
      <c r="BO62" s="62" t="n"/>
      <c r="BP62" s="62" t="n"/>
      <c r="BQ62" s="62" t="n"/>
      <c r="BR62" s="62" t="n"/>
      <c r="BS62" s="62" t="n"/>
      <c r="BT62" s="62" t="n"/>
      <c r="BU62" s="62" t="n"/>
      <c r="BV62" s="62" t="n"/>
      <c r="BW62" s="62" t="n"/>
      <c r="BX62" s="62" t="n"/>
      <c r="BY62" s="62" t="n"/>
      <c r="BZ62" s="62" t="n"/>
      <c r="CA62" s="62" t="n"/>
      <c r="CB62" s="62" t="n"/>
      <c r="EU62" s="30" t="n"/>
      <c r="EV62" s="30" t="n"/>
      <c r="EW62" s="30" t="n"/>
    </row>
    <row r="63" ht="15" customHeight="1">
      <c r="A63" s="52" t="inlineStr">
        <is>
          <t>Permiso de protección temporal</t>
        </is>
      </c>
      <c r="B63" s="56" t="n"/>
      <c r="C63" s="56" t="n"/>
      <c r="D63" s="56" t="n"/>
      <c r="E63" s="56" t="inlineStr">
        <is>
          <t>x</t>
        </is>
      </c>
      <c r="F63" s="56" t="n"/>
      <c r="G63" s="56" t="inlineStr">
        <is>
          <t>x</t>
        </is>
      </c>
      <c r="H63" s="56" t="n"/>
      <c r="I63" s="56" t="n"/>
      <c r="J63" s="56" t="inlineStr">
        <is>
          <t>x</t>
        </is>
      </c>
      <c r="K63" s="56" t="n"/>
      <c r="L63" s="56" t="n"/>
      <c r="M63" s="56" t="n"/>
      <c r="N63" s="56" t="n"/>
      <c r="O63" s="56" t="n"/>
      <c r="P63" s="56" t="inlineStr">
        <is>
          <t>x</t>
        </is>
      </c>
      <c r="Q63" s="56" t="n"/>
      <c r="R63" s="56" t="n"/>
      <c r="S63" s="56" t="n"/>
      <c r="T63" s="56" t="inlineStr">
        <is>
          <t>x</t>
        </is>
      </c>
      <c r="U63" s="56" t="n"/>
      <c r="V63" s="56" t="n"/>
      <c r="W63" s="56" t="n"/>
      <c r="X63" s="56" t="n"/>
      <c r="Y63" s="56" t="n"/>
      <c r="Z63" s="56" t="n"/>
      <c r="AA63" s="56" t="n"/>
      <c r="AB63" s="56" t="n"/>
      <c r="AC63" s="56" t="n"/>
      <c r="AD63" s="56" t="n"/>
      <c r="AE63" s="56" t="inlineStr">
        <is>
          <t>x</t>
        </is>
      </c>
      <c r="AF63" s="56" t="n"/>
      <c r="AG63" s="56" t="inlineStr">
        <is>
          <t>x</t>
        </is>
      </c>
      <c r="AH63" s="56" t="n"/>
      <c r="AI63" s="56" t="n"/>
      <c r="AJ63" s="56" t="inlineStr">
        <is>
          <t>x</t>
        </is>
      </c>
      <c r="AK63" s="56" t="n"/>
      <c r="AL63" s="56" t="n"/>
      <c r="AM63" s="56" t="inlineStr">
        <is>
          <t>x</t>
        </is>
      </c>
      <c r="AN63" s="56" t="n"/>
      <c r="AO63" s="56" t="inlineStr">
        <is>
          <t>x</t>
        </is>
      </c>
      <c r="AP63" s="62" t="n"/>
      <c r="AQ63" s="62" t="n"/>
      <c r="AR63" s="62" t="n"/>
      <c r="AS63" s="62" t="n"/>
      <c r="AT63" s="62" t="n"/>
      <c r="AU63" s="62" t="n"/>
      <c r="AV63" s="62" t="n"/>
      <c r="AW63" s="62" t="n"/>
      <c r="AX63" s="62" t="n"/>
      <c r="AY63" s="62" t="n"/>
      <c r="AZ63" s="62" t="n"/>
      <c r="BA63" s="62" t="n"/>
      <c r="BB63" s="62" t="n"/>
      <c r="BC63" s="62" t="n"/>
      <c r="BD63" s="62" t="n"/>
      <c r="BE63" s="62" t="n"/>
      <c r="BF63" s="62" t="n"/>
      <c r="BG63" s="62" t="n"/>
      <c r="BH63" s="62" t="n"/>
      <c r="BI63" s="62" t="n"/>
      <c r="BJ63" s="62" t="n"/>
      <c r="BK63" s="62" t="n"/>
      <c r="BL63" s="62" t="n"/>
      <c r="BM63" s="62" t="n"/>
      <c r="BN63" s="62" t="n"/>
      <c r="BO63" s="62" t="n"/>
      <c r="BP63" s="62" t="n"/>
      <c r="BQ63" s="62" t="n"/>
      <c r="BR63" s="62" t="n"/>
      <c r="BS63" s="62" t="n"/>
      <c r="BT63" s="62" t="n"/>
      <c r="BU63" s="62" t="n"/>
      <c r="BV63" s="62" t="n"/>
      <c r="BW63" s="62" t="n"/>
      <c r="BX63" s="62" t="n"/>
      <c r="BY63" s="62" t="n"/>
      <c r="BZ63" s="62" t="n"/>
      <c r="CA63" s="62" t="n"/>
      <c r="CB63" s="62" t="n"/>
      <c r="EU63" s="30" t="n"/>
      <c r="EV63" s="30" t="n"/>
      <c r="EW63" s="30" t="n"/>
    </row>
    <row r="64" ht="15" customHeight="1">
      <c r="A64" s="47" t="inlineStr">
        <is>
          <t>Impresión timbre</t>
        </is>
      </c>
      <c r="B64" s="62" t="n"/>
      <c r="C64" s="62" t="n"/>
      <c r="D64" s="62" t="n"/>
      <c r="E64" s="62" t="n"/>
      <c r="F64" s="62" t="n"/>
      <c r="G64" s="62" t="n"/>
      <c r="H64" s="62" t="n"/>
      <c r="I64" s="62" t="n"/>
      <c r="J64" s="62" t="n"/>
      <c r="K64" s="62" t="n"/>
      <c r="L64" s="62" t="n"/>
      <c r="M64" s="62" t="n"/>
      <c r="N64" s="62" t="n"/>
      <c r="O64" s="62" t="n"/>
      <c r="P64" s="62" t="n"/>
      <c r="Q64" s="62" t="n"/>
      <c r="R64" s="62" t="n"/>
      <c r="S64" s="62" t="n"/>
      <c r="T64" s="62" t="n"/>
      <c r="U64" s="62" t="n"/>
      <c r="V64" s="62" t="n"/>
      <c r="W64" s="62" t="n"/>
      <c r="X64" s="62" t="n"/>
      <c r="Y64" s="62" t="n"/>
      <c r="Z64" s="62" t="n"/>
      <c r="AA64" s="62" t="n"/>
      <c r="AB64" s="62" t="n"/>
      <c r="AC64" s="62" t="n"/>
      <c r="AD64" s="62" t="n"/>
      <c r="AE64" s="62" t="n"/>
      <c r="AF64" s="62" t="n"/>
      <c r="AG64" s="62" t="n"/>
      <c r="AH64" s="62" t="n"/>
      <c r="AI64" s="62" t="n"/>
      <c r="AJ64" s="62" t="n"/>
      <c r="AK64" s="62" t="n"/>
      <c r="AL64" s="62" t="n"/>
      <c r="AM64" s="62" t="n"/>
      <c r="AN64" s="62" t="n"/>
      <c r="AO64" s="62" t="n"/>
      <c r="AP64" s="62" t="n"/>
      <c r="AQ64" s="62" t="n"/>
      <c r="AR64" s="62" t="n"/>
      <c r="AS64" s="62" t="n"/>
      <c r="AT64" s="62" t="n"/>
      <c r="AU64" s="62" t="n"/>
      <c r="AV64" s="62" t="n"/>
      <c r="AW64" s="62" t="n"/>
      <c r="AX64" s="62" t="n"/>
      <c r="AY64" s="62" t="n"/>
      <c r="AZ64" s="62" t="n"/>
      <c r="BA64" s="62" t="n"/>
      <c r="BB64" s="62" t="n"/>
      <c r="BC64" s="62" t="n"/>
      <c r="BD64" s="62" t="n"/>
      <c r="BE64" s="62" t="n"/>
      <c r="BF64" s="62" t="n"/>
      <c r="BG64" s="62" t="n"/>
      <c r="BH64" s="62" t="n"/>
      <c r="BI64" s="62" t="n"/>
      <c r="BJ64" s="62" t="n"/>
      <c r="BK64" s="62" t="n"/>
      <c r="BL64" s="62" t="n"/>
      <c r="BM64" s="62" t="n"/>
      <c r="BN64" s="62" t="n"/>
      <c r="BO64" s="62" t="n"/>
      <c r="BP64" s="62" t="n"/>
      <c r="BQ64" s="62" t="n"/>
      <c r="BR64" s="62" t="n"/>
      <c r="BS64" s="62" t="n"/>
      <c r="BT64" s="62" t="n"/>
      <c r="BU64" s="62" t="n"/>
      <c r="BV64" s="62" t="n"/>
      <c r="BW64" s="62" t="n"/>
      <c r="BX64" s="62" t="n"/>
      <c r="BY64" s="62" t="n"/>
      <c r="BZ64" s="62" t="n"/>
      <c r="CA64" s="62" t="n"/>
      <c r="CB64" s="62" t="n"/>
      <c r="EU64" s="30" t="n"/>
      <c r="EV64" s="30" t="n"/>
      <c r="EW64" s="30" t="n"/>
    </row>
    <row r="65" ht="15" customHeight="1">
      <c r="A65" s="52" t="inlineStr">
        <is>
          <t>Si</t>
        </is>
      </c>
      <c r="B65" s="56" t="inlineStr">
        <is>
          <t>x</t>
        </is>
      </c>
      <c r="C65" s="56" t="n"/>
      <c r="D65" s="56" t="inlineStr">
        <is>
          <t>x</t>
        </is>
      </c>
      <c r="E65" s="56" t="n"/>
      <c r="F65" s="56" t="inlineStr">
        <is>
          <t>x</t>
        </is>
      </c>
      <c r="G65" s="56" t="inlineStr">
        <is>
          <t>x</t>
        </is>
      </c>
      <c r="H65" s="56" t="n"/>
      <c r="I65" s="56" t="inlineStr">
        <is>
          <t>x</t>
        </is>
      </c>
      <c r="J65" s="62" t="n"/>
      <c r="K65" s="62" t="n"/>
      <c r="L65" s="62" t="n"/>
      <c r="M65" s="62" t="n"/>
      <c r="N65" s="62" t="n"/>
      <c r="O65" s="62" t="n"/>
      <c r="P65" s="62" t="n"/>
      <c r="Q65" s="62" t="n"/>
      <c r="R65" s="56" t="inlineStr">
        <is>
          <t>x</t>
        </is>
      </c>
      <c r="S65" s="56" t="n"/>
      <c r="T65" s="56" t="inlineStr">
        <is>
          <t>x</t>
        </is>
      </c>
      <c r="U65" s="56" t="n"/>
      <c r="V65" s="56" t="inlineStr">
        <is>
          <t>x</t>
        </is>
      </c>
      <c r="W65" s="56" t="n"/>
      <c r="X65" s="56" t="n"/>
      <c r="Y65" s="56" t="n"/>
      <c r="Z65" s="56" t="n"/>
      <c r="AA65" s="56" t="n"/>
      <c r="AB65" s="56" t="n"/>
      <c r="AC65" s="56" t="inlineStr">
        <is>
          <t>x</t>
        </is>
      </c>
      <c r="AD65" s="56" t="n"/>
      <c r="AE65" s="56" t="inlineStr">
        <is>
          <t>x</t>
        </is>
      </c>
      <c r="AF65" s="56" t="n"/>
      <c r="AG65" s="56" t="n"/>
      <c r="AH65" s="56" t="inlineStr">
        <is>
          <t>x</t>
        </is>
      </c>
      <c r="AI65" s="56" t="n"/>
      <c r="AJ65" s="56" t="inlineStr">
        <is>
          <t>x</t>
        </is>
      </c>
      <c r="AK65" s="56" t="n"/>
      <c r="AL65" s="56" t="inlineStr">
        <is>
          <t>x</t>
        </is>
      </c>
      <c r="AM65" s="56" t="inlineStr">
        <is>
          <t>x</t>
        </is>
      </c>
      <c r="AN65" s="56" t="n"/>
      <c r="AO65" s="56" t="inlineStr">
        <is>
          <t>x</t>
        </is>
      </c>
      <c r="AP65" s="62" t="n"/>
      <c r="AQ65" s="62" t="n"/>
      <c r="AR65" s="62" t="n"/>
      <c r="AS65" s="62" t="n"/>
      <c r="AT65" s="62" t="n"/>
      <c r="AU65" s="62" t="n"/>
      <c r="AV65" s="62" t="n"/>
      <c r="AW65" s="62" t="n"/>
      <c r="AX65" s="62" t="n"/>
      <c r="AY65" s="62" t="n"/>
      <c r="AZ65" s="62" t="n"/>
      <c r="BA65" s="62" t="n"/>
      <c r="BB65" s="62" t="n"/>
      <c r="BC65" s="62" t="n"/>
      <c r="BD65" s="62" t="n"/>
      <c r="BE65" s="62" t="n"/>
      <c r="BF65" s="62" t="n"/>
      <c r="BG65" s="62" t="n"/>
      <c r="BH65" s="62" t="n"/>
      <c r="BI65" s="62" t="n"/>
      <c r="BJ65" s="62" t="n"/>
      <c r="BK65" s="62" t="n"/>
      <c r="BL65" s="62" t="n"/>
      <c r="BM65" s="62" t="n"/>
      <c r="BN65" s="62" t="n"/>
      <c r="BO65" s="62" t="n"/>
      <c r="BP65" s="62" t="n"/>
      <c r="BQ65" s="62" t="n"/>
      <c r="BR65" s="62" t="n"/>
      <c r="BS65" s="62" t="n"/>
      <c r="BT65" s="62" t="n"/>
      <c r="BU65" s="62" t="n"/>
      <c r="BV65" s="62" t="n"/>
      <c r="BW65" s="62" t="n"/>
      <c r="BX65" s="62" t="n"/>
      <c r="BY65" s="62" t="n"/>
      <c r="BZ65" s="62" t="n"/>
      <c r="CA65" s="62" t="n"/>
      <c r="CB65" s="62" t="n"/>
      <c r="EU65" s="30" t="n"/>
      <c r="EV65" s="30" t="n"/>
      <c r="EW65" s="30" t="n"/>
    </row>
    <row r="66" ht="15" customHeight="1">
      <c r="A66" s="52" t="inlineStr">
        <is>
          <t>No</t>
        </is>
      </c>
      <c r="B66" s="56" t="n"/>
      <c r="C66" s="56" t="inlineStr">
        <is>
          <t>x</t>
        </is>
      </c>
      <c r="D66" s="56" t="n"/>
      <c r="E66" s="56" t="inlineStr">
        <is>
          <t>x</t>
        </is>
      </c>
      <c r="F66" s="56" t="n"/>
      <c r="G66" s="56" t="n"/>
      <c r="H66" s="56" t="inlineStr">
        <is>
          <t>x</t>
        </is>
      </c>
      <c r="I66" s="56" t="n"/>
      <c r="J66" s="62" t="n"/>
      <c r="K66" s="62" t="n"/>
      <c r="L66" s="62" t="n"/>
      <c r="M66" s="62" t="n"/>
      <c r="N66" s="62" t="n"/>
      <c r="O66" s="62" t="n"/>
      <c r="P66" s="62" t="n"/>
      <c r="Q66" s="62" t="n"/>
      <c r="R66" s="56" t="n"/>
      <c r="S66" s="56" t="inlineStr">
        <is>
          <t>x</t>
        </is>
      </c>
      <c r="T66" s="56" t="n"/>
      <c r="U66" s="56" t="inlineStr">
        <is>
          <t>x</t>
        </is>
      </c>
      <c r="V66" s="56" t="n"/>
      <c r="W66" s="56" t="n"/>
      <c r="X66" s="56" t="n"/>
      <c r="Y66" s="56" t="n"/>
      <c r="Z66" s="56" t="n"/>
      <c r="AA66" s="56" t="n"/>
      <c r="AB66" s="56" t="n"/>
      <c r="AC66" s="56" t="n"/>
      <c r="AD66" s="56" t="inlineStr">
        <is>
          <t>x</t>
        </is>
      </c>
      <c r="AE66" s="56" t="n"/>
      <c r="AF66" s="56" t="inlineStr">
        <is>
          <t>x</t>
        </is>
      </c>
      <c r="AG66" s="56" t="inlineStr">
        <is>
          <t>x</t>
        </is>
      </c>
      <c r="AH66" s="56" t="n"/>
      <c r="AI66" s="56" t="inlineStr">
        <is>
          <t>x</t>
        </is>
      </c>
      <c r="AJ66" s="56" t="n"/>
      <c r="AK66" s="56" t="inlineStr">
        <is>
          <t>x</t>
        </is>
      </c>
      <c r="AL66" s="56" t="n"/>
      <c r="AM66" s="56" t="n"/>
      <c r="AN66" s="56" t="inlineStr">
        <is>
          <t>x</t>
        </is>
      </c>
      <c r="AO66" s="56" t="n"/>
      <c r="AP66" s="62" t="n"/>
      <c r="AQ66" s="62" t="n"/>
      <c r="AR66" s="62" t="n"/>
      <c r="AS66" s="62" t="n"/>
      <c r="AT66" s="62" t="n"/>
      <c r="AU66" s="62" t="n"/>
      <c r="AV66" s="62" t="n"/>
      <c r="AW66" s="62" t="n"/>
      <c r="AX66" s="62" t="n"/>
      <c r="AY66" s="62" t="n"/>
      <c r="AZ66" s="62" t="n"/>
      <c r="BA66" s="62" t="n"/>
      <c r="BB66" s="62" t="n"/>
      <c r="BC66" s="62" t="n"/>
      <c r="BD66" s="62" t="n"/>
      <c r="BE66" s="62" t="n"/>
      <c r="BF66" s="62" t="n"/>
      <c r="BG66" s="62" t="n"/>
      <c r="BH66" s="62" t="n"/>
      <c r="BI66" s="62" t="n"/>
      <c r="BJ66" s="62" t="n"/>
      <c r="BK66" s="62" t="n"/>
      <c r="BL66" s="62" t="n"/>
      <c r="BM66" s="62" t="n"/>
      <c r="BN66" s="62" t="n"/>
      <c r="BO66" s="62" t="n"/>
      <c r="BP66" s="62" t="n"/>
      <c r="BQ66" s="62" t="n"/>
      <c r="BR66" s="62" t="n"/>
      <c r="BS66" s="62" t="n"/>
      <c r="BT66" s="62" t="n"/>
      <c r="BU66" s="62" t="n"/>
      <c r="BV66" s="62" t="n"/>
      <c r="BW66" s="62" t="n"/>
      <c r="BX66" s="62" t="n"/>
      <c r="BY66" s="62" t="n"/>
      <c r="BZ66" s="62" t="n"/>
      <c r="CA66" s="62" t="n"/>
      <c r="CB66" s="62" t="n"/>
      <c r="EU66" s="30" t="n"/>
      <c r="EV66" s="30" t="n"/>
      <c r="EW66" s="30" t="n"/>
    </row>
    <row r="67" ht="15" customHeight="1">
      <c r="A67" s="47" t="inlineStr">
        <is>
          <t>Datos persona beneficiaria</t>
        </is>
      </c>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c r="AB67" s="62" t="n"/>
      <c r="AC67" s="62" t="n"/>
      <c r="AD67" s="62" t="n"/>
      <c r="AE67" s="62" t="n"/>
      <c r="AF67" s="62" t="n"/>
      <c r="AG67" s="62" t="n"/>
      <c r="AH67" s="62" t="n"/>
      <c r="AI67" s="62" t="n"/>
      <c r="AJ67" s="62" t="n"/>
      <c r="AK67" s="62" t="n"/>
      <c r="AL67" s="62" t="n"/>
      <c r="AM67" s="62" t="n"/>
      <c r="AN67" s="62" t="n"/>
      <c r="AO67" s="62" t="n"/>
      <c r="AP67" s="62" t="n"/>
      <c r="AQ67" s="62" t="n"/>
      <c r="AR67" s="62" t="n"/>
      <c r="AS67" s="62" t="n"/>
      <c r="AT67" s="62" t="n"/>
      <c r="AU67" s="62" t="n"/>
      <c r="AV67" s="62" t="n"/>
      <c r="AW67" s="62" t="n"/>
      <c r="AX67" s="62" t="n"/>
      <c r="AY67" s="62" t="n"/>
      <c r="AZ67" s="62" t="n"/>
      <c r="BA67" s="62" t="n"/>
      <c r="BB67" s="62" t="n"/>
      <c r="BC67" s="62" t="n"/>
      <c r="BD67" s="62" t="n"/>
      <c r="BE67" s="62" t="n"/>
      <c r="BF67" s="62" t="n"/>
      <c r="BG67" s="62" t="n"/>
      <c r="BH67" s="62" t="n"/>
      <c r="BI67" s="62" t="n"/>
      <c r="BJ67" s="62" t="n"/>
      <c r="BK67" s="62" t="n"/>
      <c r="BL67" s="62" t="n"/>
      <c r="BM67" s="62" t="n"/>
      <c r="BN67" s="62" t="n"/>
      <c r="BO67" s="62" t="n"/>
      <c r="BP67" s="62" t="n"/>
      <c r="BQ67" s="62" t="n"/>
      <c r="BR67" s="62" t="n"/>
      <c r="BS67" s="62" t="n"/>
      <c r="BT67" s="62" t="n"/>
      <c r="BU67" s="62" t="n"/>
      <c r="BV67" s="62" t="n"/>
      <c r="BW67" s="62" t="n"/>
      <c r="BX67" s="62" t="n"/>
      <c r="BY67" s="62" t="n"/>
      <c r="BZ67" s="62" t="n"/>
      <c r="CA67" s="62" t="n"/>
      <c r="CB67" s="62" t="n"/>
      <c r="EU67" s="30" t="n"/>
      <c r="EV67" s="30" t="n"/>
      <c r="EW67" s="30" t="n"/>
    </row>
    <row r="68" ht="15" customHeight="1">
      <c r="A68" s="47" t="inlineStr">
        <is>
          <t>Primer nombre</t>
        </is>
      </c>
      <c r="B68" s="62" t="n"/>
      <c r="C68" s="62" t="n"/>
      <c r="D68" s="62" t="n"/>
      <c r="E68" s="62" t="n"/>
      <c r="F68" s="62" t="n"/>
      <c r="G68" s="62" t="n"/>
      <c r="H68" s="62" t="n"/>
      <c r="I68" s="62" t="n"/>
      <c r="J68" s="62" t="n"/>
      <c r="K68" s="62" t="n"/>
      <c r="L68" s="62" t="n"/>
      <c r="M68" s="62" t="n"/>
      <c r="N68" s="62" t="n"/>
      <c r="O68" s="62" t="n"/>
      <c r="P68" s="62" t="n"/>
      <c r="Q68" s="62" t="n"/>
      <c r="R68" s="62" t="n"/>
      <c r="S68" s="62" t="n"/>
      <c r="T68" s="62" t="n"/>
      <c r="U68" s="62" t="n"/>
      <c r="V68" s="62" t="n"/>
      <c r="W68" s="62" t="n"/>
      <c r="X68" s="62" t="n"/>
      <c r="Y68" s="62" t="n"/>
      <c r="Z68" s="62" t="n"/>
      <c r="AA68" s="62" t="n"/>
      <c r="AB68" s="62" t="n"/>
      <c r="AC68" s="62" t="n"/>
      <c r="AD68" s="62" t="n"/>
      <c r="AE68" s="62" t="n"/>
      <c r="AF68" s="62" t="n"/>
      <c r="AG68" s="62" t="n"/>
      <c r="AH68" s="62" t="n"/>
      <c r="AI68" s="62" t="n"/>
      <c r="AJ68" s="62" t="n"/>
      <c r="AK68" s="62" t="n"/>
      <c r="AL68" s="62" t="n"/>
      <c r="AM68" s="62" t="n"/>
      <c r="AN68" s="62" t="n"/>
      <c r="AO68" s="62" t="n"/>
      <c r="AP68" s="62" t="n"/>
      <c r="AQ68" s="62" t="n"/>
      <c r="AR68" s="62" t="n"/>
      <c r="AS68" s="62" t="n"/>
      <c r="AT68" s="62" t="n"/>
      <c r="AU68" s="62" t="n"/>
      <c r="AV68" s="62" t="n"/>
      <c r="AW68" s="62" t="n"/>
      <c r="AX68" s="62" t="n"/>
      <c r="AY68" s="62" t="n"/>
      <c r="AZ68" s="62" t="n"/>
      <c r="BA68" s="62" t="n"/>
      <c r="BB68" s="62" t="n"/>
      <c r="BC68" s="62" t="n"/>
      <c r="BD68" s="62" t="n"/>
      <c r="BE68" s="62" t="n"/>
      <c r="BF68" s="62" t="n"/>
      <c r="BG68" s="62" t="n"/>
      <c r="BH68" s="62" t="n"/>
      <c r="BI68" s="62" t="n"/>
      <c r="BJ68" s="62" t="n"/>
      <c r="BK68" s="62" t="n"/>
      <c r="BL68" s="62" t="n"/>
      <c r="BM68" s="62" t="n"/>
      <c r="BN68" s="62" t="n"/>
      <c r="BO68" s="62" t="n"/>
      <c r="BP68" s="62" t="n"/>
      <c r="BQ68" s="62" t="n"/>
      <c r="BR68" s="62" t="n"/>
      <c r="BS68" s="62" t="n"/>
      <c r="BT68" s="62" t="n"/>
      <c r="BU68" s="62" t="n"/>
      <c r="BV68" s="62" t="n"/>
      <c r="BW68" s="62" t="n"/>
      <c r="BX68" s="62" t="n"/>
      <c r="BY68" s="62" t="n"/>
      <c r="BZ68" s="62" t="n"/>
      <c r="CA68" s="62" t="n"/>
      <c r="CB68" s="62" t="n"/>
      <c r="EU68" s="30" t="n"/>
      <c r="EV68" s="30" t="n"/>
      <c r="EW68" s="30" t="n"/>
    </row>
    <row r="69" ht="15" customHeight="1">
      <c r="A69" s="52" t="inlineStr">
        <is>
          <t>Válido</t>
        </is>
      </c>
      <c r="B69" s="62" t="n"/>
      <c r="C69" s="56" t="inlineStr">
        <is>
          <t>x</t>
        </is>
      </c>
      <c r="D69" s="56" t="inlineStr">
        <is>
          <t>x</t>
        </is>
      </c>
      <c r="E69" s="56" t="inlineStr">
        <is>
          <t>x</t>
        </is>
      </c>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c r="AB69" s="62" t="n"/>
      <c r="AC69" s="62" t="n"/>
      <c r="AD69" s="62" t="n"/>
      <c r="AE69" s="62" t="n"/>
      <c r="AF69" s="62" t="n"/>
      <c r="AG69" s="62" t="n"/>
      <c r="AH69" s="62" t="n"/>
      <c r="AI69" s="62" t="n"/>
      <c r="AJ69" s="62" t="n"/>
      <c r="AK69" s="62" t="n"/>
      <c r="AL69" s="62" t="n"/>
      <c r="AM69" s="62" t="n"/>
      <c r="AN69" s="62" t="n"/>
      <c r="AO69" s="62" t="n"/>
      <c r="AP69" s="62" t="n"/>
      <c r="AQ69" s="62" t="n"/>
      <c r="AR69" s="62" t="n"/>
      <c r="AS69" s="62" t="n"/>
      <c r="AT69" s="62" t="n"/>
      <c r="AU69" s="62" t="n"/>
      <c r="AV69" s="62" t="n"/>
      <c r="AW69" s="62" t="n"/>
      <c r="AX69" s="62" t="n"/>
      <c r="AY69" s="62" t="n"/>
      <c r="AZ69" s="62" t="n"/>
      <c r="BA69" s="62" t="n"/>
      <c r="BB69" s="62" t="n"/>
      <c r="BC69" s="62" t="n"/>
      <c r="BD69" s="62" t="n"/>
      <c r="BE69" s="62" t="n"/>
      <c r="BF69" s="62" t="n"/>
      <c r="BG69" s="62" t="n"/>
      <c r="BH69" s="62" t="n"/>
      <c r="BI69" s="62" t="n"/>
      <c r="BJ69" s="62" t="n"/>
      <c r="BK69" s="62" t="n"/>
      <c r="BL69" s="62" t="n"/>
      <c r="BM69" s="62" t="n"/>
      <c r="BN69" s="62" t="n"/>
      <c r="BO69" s="62" t="n"/>
      <c r="BP69" s="62" t="n"/>
      <c r="BQ69" s="62" t="n"/>
      <c r="BR69" s="62" t="n"/>
      <c r="BS69" s="62" t="n"/>
      <c r="BT69" s="62" t="n"/>
      <c r="BU69" s="62" t="n"/>
      <c r="BV69" s="62" t="n"/>
      <c r="BW69" s="62" t="n"/>
      <c r="BX69" s="62" t="n"/>
      <c r="BY69" s="62" t="n"/>
      <c r="BZ69" s="62" t="n"/>
      <c r="CA69" s="62" t="n"/>
      <c r="CB69" s="62" t="n"/>
      <c r="EU69" s="30" t="n"/>
      <c r="EV69" s="30" t="n"/>
      <c r="EW69" s="30" t="n"/>
    </row>
    <row r="70" ht="15" customHeight="1">
      <c r="A70" s="52" t="inlineStr">
        <is>
          <t>Nulo o vacío</t>
        </is>
      </c>
      <c r="B70" s="62" t="n"/>
      <c r="C70" s="56" t="n"/>
      <c r="D70" s="56" t="n"/>
      <c r="E70" s="56" t="n"/>
      <c r="F70" s="62" t="n"/>
      <c r="G70" s="62" t="n"/>
      <c r="H70" s="62" t="n"/>
      <c r="I70" s="62" t="n"/>
      <c r="J70" s="62" t="n"/>
      <c r="K70" s="62" t="n"/>
      <c r="L70" s="62" t="n"/>
      <c r="M70" s="62" t="n"/>
      <c r="N70" s="62" t="n"/>
      <c r="O70" s="62" t="n"/>
      <c r="P70" s="62" t="n"/>
      <c r="Q70" s="62" t="n"/>
      <c r="R70" s="62" t="n"/>
      <c r="S70" s="62" t="n"/>
      <c r="T70" s="62" t="n"/>
      <c r="U70" s="62" t="n"/>
      <c r="V70" s="62" t="n"/>
      <c r="W70" s="62" t="n"/>
      <c r="X70" s="62" t="n"/>
      <c r="Y70" s="62" t="n"/>
      <c r="Z70" s="62" t="n"/>
      <c r="AA70" s="62" t="n"/>
      <c r="AB70" s="62" t="n"/>
      <c r="AC70" s="62" t="n"/>
      <c r="AD70" s="62" t="n"/>
      <c r="AE70" s="62" t="n"/>
      <c r="AF70" s="62" t="n"/>
      <c r="AG70" s="62" t="n"/>
      <c r="AH70" s="62" t="n"/>
      <c r="AI70" s="62" t="n"/>
      <c r="AJ70" s="62" t="n"/>
      <c r="AK70" s="62" t="n"/>
      <c r="AL70" s="62" t="n"/>
      <c r="AM70" s="62" t="n"/>
      <c r="AN70" s="62" t="n"/>
      <c r="AO70" s="62" t="n"/>
      <c r="AP70" s="62" t="n"/>
      <c r="AQ70" s="62" t="n"/>
      <c r="AR70" s="62" t="n"/>
      <c r="AS70" s="62" t="n"/>
      <c r="AT70" s="62" t="n"/>
      <c r="AU70" s="62" t="n"/>
      <c r="AV70" s="62" t="n"/>
      <c r="AW70" s="62" t="n"/>
      <c r="AX70" s="62" t="n"/>
      <c r="AY70" s="62" t="n"/>
      <c r="AZ70" s="62" t="n"/>
      <c r="BA70" s="62" t="n"/>
      <c r="BB70" s="62" t="n"/>
      <c r="BC70" s="62" t="n"/>
      <c r="BD70" s="62" t="n"/>
      <c r="BE70" s="62" t="n"/>
      <c r="BF70" s="62" t="n"/>
      <c r="BG70" s="62" t="n"/>
      <c r="BH70" s="62" t="n"/>
      <c r="BI70" s="62" t="n"/>
      <c r="BJ70" s="62" t="n"/>
      <c r="BK70" s="62" t="n"/>
      <c r="BL70" s="62" t="n"/>
      <c r="BM70" s="62" t="n"/>
      <c r="BN70" s="62" t="n"/>
      <c r="BO70" s="62" t="n"/>
      <c r="BP70" s="62" t="n"/>
      <c r="BQ70" s="62" t="n"/>
      <c r="BR70" s="62" t="n"/>
      <c r="BS70" s="62" t="n"/>
      <c r="BT70" s="62" t="n"/>
      <c r="BU70" s="62" t="n"/>
      <c r="BV70" s="62" t="n"/>
      <c r="BW70" s="62" t="n"/>
      <c r="BX70" s="62" t="n"/>
      <c r="BY70" s="62" t="n"/>
      <c r="BZ70" s="62" t="n"/>
      <c r="CA70" s="62" t="n"/>
      <c r="CB70" s="62" t="n"/>
      <c r="EU70" s="30" t="n"/>
      <c r="EV70" s="30" t="n"/>
      <c r="EW70" s="30" t="n"/>
    </row>
    <row r="71" ht="15" customHeight="1">
      <c r="A71" s="47" t="inlineStr">
        <is>
          <t>Segundo nombre</t>
        </is>
      </c>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c r="AB71" s="62" t="n"/>
      <c r="AC71" s="62" t="n"/>
      <c r="AD71" s="62" t="n"/>
      <c r="AE71" s="62" t="n"/>
      <c r="AF71" s="62" t="n"/>
      <c r="AG71" s="62" t="n"/>
      <c r="AH71" s="62" t="n"/>
      <c r="AI71" s="62" t="n"/>
      <c r="AJ71" s="62" t="n"/>
      <c r="AK71" s="62" t="n"/>
      <c r="AL71" s="62" t="n"/>
      <c r="AM71" s="62" t="n"/>
      <c r="AN71" s="62" t="n"/>
      <c r="AO71" s="62" t="n"/>
      <c r="AP71" s="62" t="n"/>
      <c r="AQ71" s="62" t="n"/>
      <c r="AR71" s="62" t="n"/>
      <c r="AS71" s="62" t="n"/>
      <c r="AT71" s="62" t="n"/>
      <c r="AU71" s="62" t="n"/>
      <c r="AV71" s="62" t="n"/>
      <c r="AW71" s="62" t="n"/>
      <c r="AX71" s="62" t="n"/>
      <c r="AY71" s="62" t="n"/>
      <c r="AZ71" s="62" t="n"/>
      <c r="BA71" s="62" t="n"/>
      <c r="BB71" s="62" t="n"/>
      <c r="BC71" s="62" t="n"/>
      <c r="BD71" s="62" t="n"/>
      <c r="BE71" s="62" t="n"/>
      <c r="BF71" s="62" t="n"/>
      <c r="BG71" s="62" t="n"/>
      <c r="BH71" s="62" t="n"/>
      <c r="BI71" s="62" t="n"/>
      <c r="BJ71" s="62" t="n"/>
      <c r="BK71" s="62" t="n"/>
      <c r="BL71" s="62" t="n"/>
      <c r="BM71" s="62" t="n"/>
      <c r="BN71" s="62" t="n"/>
      <c r="BO71" s="62" t="n"/>
      <c r="BP71" s="62" t="n"/>
      <c r="BQ71" s="62" t="n"/>
      <c r="BR71" s="62" t="n"/>
      <c r="BS71" s="62" t="n"/>
      <c r="BT71" s="62" t="n"/>
      <c r="BU71" s="62" t="n"/>
      <c r="BV71" s="62" t="n"/>
      <c r="BW71" s="62" t="n"/>
      <c r="BX71" s="62" t="n"/>
      <c r="BY71" s="62" t="n"/>
      <c r="BZ71" s="62" t="n"/>
      <c r="CA71" s="62" t="n"/>
      <c r="CB71" s="62" t="n"/>
      <c r="EU71" s="30" t="n"/>
      <c r="EV71" s="30" t="n"/>
      <c r="EW71" s="30" t="n"/>
    </row>
    <row r="72" ht="15" customHeight="1">
      <c r="A72" s="52" t="inlineStr">
        <is>
          <t>Válido</t>
        </is>
      </c>
      <c r="B72" s="62" t="n"/>
      <c r="C72" s="56" t="inlineStr">
        <is>
          <t>x</t>
        </is>
      </c>
      <c r="D72" s="56" t="n"/>
      <c r="E72" s="56" t="inlineStr">
        <is>
          <t>x</t>
        </is>
      </c>
      <c r="F72" s="62" t="n"/>
      <c r="G72" s="62" t="n"/>
      <c r="H72" s="62" t="n"/>
      <c r="I72" s="62" t="n"/>
      <c r="J72" s="62" t="n"/>
      <c r="K72" s="62" t="n"/>
      <c r="L72" s="62" t="n"/>
      <c r="M72" s="62" t="n"/>
      <c r="N72" s="62" t="n"/>
      <c r="O72" s="62" t="n"/>
      <c r="P72" s="62" t="n"/>
      <c r="Q72" s="62" t="n"/>
      <c r="R72" s="62" t="n"/>
      <c r="S72" s="62" t="n"/>
      <c r="T72" s="62" t="n"/>
      <c r="U72" s="62" t="n"/>
      <c r="V72" s="62" t="n"/>
      <c r="W72" s="62" t="n"/>
      <c r="X72" s="62" t="n"/>
      <c r="Y72" s="62" t="n"/>
      <c r="Z72" s="62" t="n"/>
      <c r="AA72" s="62" t="n"/>
      <c r="AB72" s="62" t="n"/>
      <c r="AC72" s="62" t="n"/>
      <c r="AD72" s="62" t="n"/>
      <c r="AE72" s="62" t="n"/>
      <c r="AF72" s="62" t="n"/>
      <c r="AG72" s="62" t="n"/>
      <c r="AH72" s="62" t="n"/>
      <c r="AI72" s="62" t="n"/>
      <c r="AJ72" s="62" t="n"/>
      <c r="AK72" s="62" t="n"/>
      <c r="AL72" s="62" t="n"/>
      <c r="AM72" s="62" t="n"/>
      <c r="AN72" s="62" t="n"/>
      <c r="AO72" s="62" t="n"/>
      <c r="AP72" s="62" t="n"/>
      <c r="AQ72" s="62" t="n"/>
      <c r="AR72" s="62" t="n"/>
      <c r="AS72" s="62" t="n"/>
      <c r="AT72" s="62" t="n"/>
      <c r="AU72" s="62" t="n"/>
      <c r="AV72" s="62" t="n"/>
      <c r="AW72" s="62" t="n"/>
      <c r="AX72" s="62" t="n"/>
      <c r="AY72" s="62" t="n"/>
      <c r="AZ72" s="62" t="n"/>
      <c r="BA72" s="62" t="n"/>
      <c r="BB72" s="62" t="n"/>
      <c r="BC72" s="62" t="n"/>
      <c r="BD72" s="62" t="n"/>
      <c r="BE72" s="62" t="n"/>
      <c r="BF72" s="62" t="n"/>
      <c r="BG72" s="62" t="n"/>
      <c r="BH72" s="62" t="n"/>
      <c r="BI72" s="62" t="n"/>
      <c r="BJ72" s="62" t="n"/>
      <c r="BK72" s="62" t="n"/>
      <c r="BL72" s="62" t="n"/>
      <c r="BM72" s="62" t="n"/>
      <c r="BN72" s="62" t="n"/>
      <c r="BO72" s="62" t="n"/>
      <c r="BP72" s="62" t="n"/>
      <c r="BQ72" s="62" t="n"/>
      <c r="BR72" s="62" t="n"/>
      <c r="BS72" s="62" t="n"/>
      <c r="BT72" s="62" t="n"/>
      <c r="BU72" s="62" t="n"/>
      <c r="BV72" s="62" t="n"/>
      <c r="BW72" s="62" t="n"/>
      <c r="BX72" s="62" t="n"/>
      <c r="BY72" s="62" t="n"/>
      <c r="BZ72" s="62" t="n"/>
      <c r="CA72" s="62" t="n"/>
      <c r="CB72" s="62" t="n"/>
      <c r="EU72" s="30" t="n"/>
      <c r="EV72" s="30" t="n"/>
      <c r="EW72" s="30" t="n"/>
    </row>
    <row r="73" ht="15" customHeight="1">
      <c r="A73" s="52" t="inlineStr">
        <is>
          <t>Nulo o vacío</t>
        </is>
      </c>
      <c r="B73" s="62" t="n"/>
      <c r="C73" s="56" t="n"/>
      <c r="D73" s="56" t="inlineStr">
        <is>
          <t>x</t>
        </is>
      </c>
      <c r="E73" s="56"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2" t="n"/>
      <c r="BZ73" s="62" t="n"/>
      <c r="CA73" s="62" t="n"/>
      <c r="CB73" s="62" t="n"/>
      <c r="EU73" s="30" t="n"/>
      <c r="EV73" s="30" t="n"/>
      <c r="EW73" s="30" t="n"/>
    </row>
    <row r="74" ht="15" customHeight="1">
      <c r="A74" s="47" t="inlineStr">
        <is>
          <t>Primer apeliido</t>
        </is>
      </c>
      <c r="B74" s="62" t="n"/>
      <c r="C74" s="62" t="n"/>
      <c r="D74" s="62" t="n"/>
      <c r="E74" s="62" t="n"/>
      <c r="F74" s="62" t="n"/>
      <c r="G74" s="62" t="n"/>
      <c r="H74" s="62" t="n"/>
      <c r="I74" s="62" t="n"/>
      <c r="J74" s="62" t="n"/>
      <c r="K74" s="62" t="n"/>
      <c r="L74" s="62" t="n"/>
      <c r="M74" s="62" t="n"/>
      <c r="N74" s="62" t="n"/>
      <c r="O74" s="62" t="n"/>
      <c r="P74" s="62" t="n"/>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EU74" s="30" t="n"/>
      <c r="EV74" s="30" t="n"/>
      <c r="EW74" s="30" t="n"/>
    </row>
    <row r="75" ht="15" customHeight="1">
      <c r="A75" s="52" t="inlineStr">
        <is>
          <t>Válido</t>
        </is>
      </c>
      <c r="B75" s="62" t="n"/>
      <c r="C75" s="56" t="inlineStr">
        <is>
          <t>x</t>
        </is>
      </c>
      <c r="D75" s="56" t="inlineStr">
        <is>
          <t>x</t>
        </is>
      </c>
      <c r="E75" s="56" t="inlineStr">
        <is>
          <t>x</t>
        </is>
      </c>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EU75" s="30" t="n"/>
      <c r="EV75" s="30" t="n"/>
      <c r="EW75" s="30" t="n"/>
    </row>
    <row r="76" ht="15" customHeight="1">
      <c r="A76" s="52" t="inlineStr">
        <is>
          <t>Nulo o vacío</t>
        </is>
      </c>
      <c r="B76" s="62" t="n"/>
      <c r="C76" s="56" t="n"/>
      <c r="D76" s="56" t="n"/>
      <c r="E76" s="56" t="n"/>
      <c r="F76" s="62" t="n"/>
      <c r="G76" s="62" t="n"/>
      <c r="H76" s="62" t="n"/>
      <c r="I76" s="62" t="n"/>
      <c r="J76" s="62" t="n"/>
      <c r="K76" s="62" t="n"/>
      <c r="L76" s="62" t="n"/>
      <c r="M76" s="62" t="n"/>
      <c r="N76" s="62" t="n"/>
      <c r="O76" s="62" t="n"/>
      <c r="P76" s="62" t="n"/>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EU76" s="30" t="n"/>
      <c r="EV76" s="30" t="n"/>
      <c r="EW76" s="30" t="n"/>
    </row>
    <row r="77" ht="15" customHeight="1">
      <c r="A77" s="47" t="inlineStr">
        <is>
          <t>Segundo apeliido</t>
        </is>
      </c>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EU77" s="30" t="n"/>
      <c r="EV77" s="30" t="n"/>
      <c r="EW77" s="30" t="n"/>
    </row>
    <row r="78" ht="15" customHeight="1">
      <c r="A78" s="52" t="inlineStr">
        <is>
          <t>Válido</t>
        </is>
      </c>
      <c r="B78" s="62" t="n"/>
      <c r="C78" s="56" t="inlineStr">
        <is>
          <t>x</t>
        </is>
      </c>
      <c r="D78" s="56" t="n"/>
      <c r="E78" s="56" t="inlineStr">
        <is>
          <t>x</t>
        </is>
      </c>
      <c r="F78" s="62" t="n"/>
      <c r="G78" s="62" t="n"/>
      <c r="H78" s="62" t="n"/>
      <c r="I78" s="62" t="n"/>
      <c r="J78" s="62" t="n"/>
      <c r="K78" s="62" t="n"/>
      <c r="L78" s="62" t="n"/>
      <c r="M78" s="62" t="n"/>
      <c r="N78" s="62" t="n"/>
      <c r="O78" s="62" t="n"/>
      <c r="P78" s="62" t="n"/>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EU78" s="30" t="n"/>
      <c r="EV78" s="30" t="n"/>
      <c r="EW78" s="30" t="n"/>
    </row>
    <row r="79" ht="15" customHeight="1">
      <c r="A79" s="52" t="inlineStr">
        <is>
          <t>Nulo o vacío</t>
        </is>
      </c>
      <c r="B79" s="62" t="n"/>
      <c r="C79" s="56" t="n"/>
      <c r="D79" s="56" t="inlineStr">
        <is>
          <t>x</t>
        </is>
      </c>
      <c r="E79" s="56"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EU79" s="30" t="n"/>
      <c r="EV79" s="30" t="n"/>
      <c r="EW79" s="30" t="n"/>
    </row>
    <row r="80" ht="15" customHeight="1">
      <c r="A80" s="47" t="inlineStr">
        <is>
          <t>Cheque</t>
        </is>
      </c>
      <c r="B80" s="62" t="n"/>
      <c r="C80" s="62" t="n"/>
      <c r="D80" s="62" t="n"/>
      <c r="E80" s="62" t="n"/>
      <c r="F80" s="62" t="n"/>
      <c r="G80" s="62" t="n"/>
      <c r="H80" s="62" t="n"/>
      <c r="I80" s="62" t="n"/>
      <c r="J80" s="62" t="n"/>
      <c r="K80" s="62" t="n"/>
      <c r="L80" s="62" t="n"/>
      <c r="M80" s="62" t="n"/>
      <c r="N80" s="62" t="n"/>
      <c r="O80" s="62" t="n"/>
      <c r="P80" s="62" t="n"/>
      <c r="Q80" s="62" t="n"/>
      <c r="R80" s="62" t="n"/>
      <c r="S80" s="62" t="n"/>
      <c r="T80" s="62" t="n"/>
      <c r="U80" s="62" t="n"/>
      <c r="V80" s="62" t="n"/>
      <c r="W80" s="62" t="n"/>
      <c r="X80" s="62" t="n"/>
      <c r="Y80" s="62" t="n"/>
      <c r="Z80" s="62" t="n"/>
      <c r="AA80" s="62" t="n"/>
      <c r="AB80" s="62" t="n"/>
      <c r="AC80" s="62" t="n"/>
      <c r="AD80" s="62" t="n"/>
      <c r="AE80" s="62" t="n"/>
      <c r="AF80" s="62" t="n"/>
      <c r="AG80" s="62" t="n"/>
      <c r="AH80" s="62" t="n"/>
      <c r="AI80" s="62" t="n"/>
      <c r="AJ80" s="62" t="n"/>
      <c r="AK80" s="62" t="n"/>
      <c r="AL80" s="62" t="n"/>
      <c r="AM80" s="62" t="n"/>
      <c r="AN80" s="62" t="n"/>
      <c r="AO80" s="62" t="n"/>
      <c r="AP80" s="62" t="n"/>
      <c r="AQ80" s="62" t="n"/>
      <c r="AR80" s="62" t="n"/>
      <c r="AS80" s="62" t="n"/>
      <c r="AT80" s="62" t="n"/>
      <c r="AU80" s="62" t="n"/>
      <c r="AV80" s="62" t="n"/>
      <c r="AW80" s="62" t="n"/>
      <c r="AX80" s="62" t="n"/>
      <c r="AY80" s="62" t="n"/>
      <c r="AZ80" s="62" t="n"/>
      <c r="BA80" s="62" t="n"/>
      <c r="BB80" s="62" t="n"/>
      <c r="BC80" s="62" t="n"/>
      <c r="BD80" s="62" t="n"/>
      <c r="BE80" s="62" t="n"/>
      <c r="BF80" s="62" t="n"/>
      <c r="BG80" s="62" t="n"/>
      <c r="BH80" s="62" t="n"/>
      <c r="BI80" s="62" t="n"/>
      <c r="BJ80" s="62" t="n"/>
      <c r="BK80" s="62" t="n"/>
      <c r="BL80" s="62" t="n"/>
      <c r="BM80" s="62" t="n"/>
      <c r="BN80" s="62" t="n"/>
      <c r="BO80" s="62" t="n"/>
      <c r="BP80" s="62" t="n"/>
      <c r="BQ80" s="62" t="n"/>
      <c r="BR80" s="62" t="n"/>
      <c r="BS80" s="62" t="n"/>
      <c r="BT80" s="62" t="n"/>
      <c r="BU80" s="62" t="n"/>
      <c r="BV80" s="62" t="n"/>
      <c r="BW80" s="62" t="n"/>
      <c r="BX80" s="62" t="n"/>
      <c r="BY80" s="62" t="n"/>
      <c r="BZ80" s="62" t="n"/>
      <c r="CA80" s="62" t="n"/>
      <c r="CB80" s="62" t="n"/>
      <c r="EU80" s="30" t="n"/>
      <c r="EV80" s="30" t="n"/>
      <c r="EW80" s="30" t="n"/>
    </row>
    <row r="81" ht="15" customHeight="1">
      <c r="A81" s="47" t="inlineStr">
        <is>
          <t>Cuenta</t>
        </is>
      </c>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c r="AB81" s="62" t="n"/>
      <c r="AC81" s="62" t="n"/>
      <c r="AD81" s="62" t="n"/>
      <c r="AE81" s="62" t="n"/>
      <c r="AF81" s="62" t="n"/>
      <c r="AG81" s="62" t="n"/>
      <c r="AH81" s="62" t="n"/>
      <c r="AI81" s="62" t="n"/>
      <c r="AJ81" s="62" t="n"/>
      <c r="AK81" s="62" t="n"/>
      <c r="AL81" s="62" t="n"/>
      <c r="AM81" s="62" t="n"/>
      <c r="AN81" s="62" t="n"/>
      <c r="AO81" s="62" t="n"/>
      <c r="AP81" s="62" t="n"/>
      <c r="AQ81" s="62" t="n"/>
      <c r="AR81" s="62" t="n"/>
      <c r="AS81" s="62" t="n"/>
      <c r="AT81" s="62" t="n"/>
      <c r="AU81" s="62" t="n"/>
      <c r="AV81" s="62" t="n"/>
      <c r="AW81" s="62" t="n"/>
      <c r="AX81" s="62" t="n"/>
      <c r="AY81" s="62" t="n"/>
      <c r="AZ81" s="62" t="n"/>
      <c r="BA81" s="62" t="n"/>
      <c r="BB81" s="62" t="n"/>
      <c r="BC81" s="62" t="n"/>
      <c r="BD81" s="62" t="n"/>
      <c r="BE81" s="62" t="n"/>
      <c r="BF81" s="62" t="n"/>
      <c r="BG81" s="62" t="n"/>
      <c r="BH81" s="62" t="n"/>
      <c r="BI81" s="62" t="n"/>
      <c r="BJ81" s="62" t="n"/>
      <c r="BK81" s="62" t="n"/>
      <c r="BL81" s="62" t="n"/>
      <c r="BM81" s="62" t="n"/>
      <c r="BN81" s="62" t="n"/>
      <c r="BO81" s="62" t="n"/>
      <c r="BP81" s="62" t="n"/>
      <c r="BQ81" s="62" t="n"/>
      <c r="BR81" s="62" t="n"/>
      <c r="BS81" s="62" t="n"/>
      <c r="BT81" s="62" t="n"/>
      <c r="BU81" s="62" t="n"/>
      <c r="BV81" s="62" t="n"/>
      <c r="BW81" s="62" t="n"/>
      <c r="BX81" s="62" t="n"/>
      <c r="BY81" s="62" t="n"/>
      <c r="BZ81" s="62" t="n"/>
      <c r="CA81" s="62" t="n"/>
      <c r="CB81" s="62" t="n"/>
      <c r="EU81" s="30" t="n"/>
      <c r="EV81" s="30" t="n"/>
      <c r="EW81" s="30" t="n"/>
    </row>
    <row r="82" ht="15" customHeight="1">
      <c r="A82" s="52" t="inlineStr">
        <is>
          <t>Válida</t>
        </is>
      </c>
      <c r="B82" s="62" t="n"/>
      <c r="C82" s="56" t="inlineStr">
        <is>
          <t>x</t>
        </is>
      </c>
      <c r="D82" s="56" t="inlineStr">
        <is>
          <t>x</t>
        </is>
      </c>
      <c r="E82" s="56" t="n"/>
      <c r="F82" s="62" t="n"/>
      <c r="G82" s="62" t="n"/>
      <c r="H82" s="62" t="n"/>
      <c r="I82" s="62" t="n"/>
      <c r="J82" s="62" t="n"/>
      <c r="K82" s="62" t="n"/>
      <c r="L82" s="62" t="n"/>
      <c r="M82" s="62" t="n"/>
      <c r="N82" s="62" t="n"/>
      <c r="O82" s="62" t="n"/>
      <c r="P82" s="62" t="n"/>
      <c r="Q82" s="62" t="n"/>
      <c r="R82" s="62" t="n"/>
      <c r="S82" s="62" t="n"/>
      <c r="T82" s="62" t="n"/>
      <c r="U82" s="62" t="n"/>
      <c r="V82" s="62" t="n"/>
      <c r="W82" s="62" t="n"/>
      <c r="X82" s="62" t="n"/>
      <c r="Y82" s="62" t="n"/>
      <c r="Z82" s="62" t="n"/>
      <c r="AA82" s="62" t="n"/>
      <c r="AB82" s="62" t="n"/>
      <c r="AC82" s="62" t="n"/>
      <c r="AD82" s="62" t="n"/>
      <c r="AE82" s="62" t="n"/>
      <c r="AF82" s="62" t="n"/>
      <c r="AG82" s="62" t="n"/>
      <c r="AH82" s="62" t="n"/>
      <c r="AI82" s="62" t="n"/>
      <c r="AJ82" s="62" t="n"/>
      <c r="AK82" s="62" t="n"/>
      <c r="AL82" s="62" t="n"/>
      <c r="AM82" s="62" t="n"/>
      <c r="AN82" s="62" t="n"/>
      <c r="AO82" s="62" t="n"/>
      <c r="AP82" s="62" t="n"/>
      <c r="AQ82" s="62" t="n"/>
      <c r="AR82" s="62" t="n"/>
      <c r="AS82" s="62" t="n"/>
      <c r="AT82" s="62" t="n"/>
      <c r="AU82" s="62" t="n"/>
      <c r="AV82" s="62" t="n"/>
      <c r="AW82" s="62" t="n"/>
      <c r="AX82" s="62" t="n"/>
      <c r="AY82" s="62" t="n"/>
      <c r="AZ82" s="62" t="n"/>
      <c r="BA82" s="62" t="n"/>
      <c r="BB82" s="62" t="n"/>
      <c r="BC82" s="62" t="n"/>
      <c r="BD82" s="62" t="n"/>
      <c r="BE82" s="62" t="n"/>
      <c r="BF82" s="62" t="n"/>
      <c r="BG82" s="62" t="n"/>
      <c r="BH82" s="62" t="n"/>
      <c r="BI82" s="62" t="n"/>
      <c r="BJ82" s="62" t="n"/>
      <c r="BK82" s="62" t="n"/>
      <c r="BL82" s="62" t="n"/>
      <c r="BM82" s="62" t="n"/>
      <c r="BN82" s="62" t="n"/>
      <c r="BO82" s="62" t="n"/>
      <c r="BP82" s="62" t="n"/>
      <c r="BQ82" s="62" t="n"/>
      <c r="BR82" s="62" t="n"/>
      <c r="BS82" s="62" t="n"/>
      <c r="BT82" s="62" t="n"/>
      <c r="BU82" s="62" t="n"/>
      <c r="BV82" s="62" t="n"/>
      <c r="BW82" s="62" t="n"/>
      <c r="BX82" s="62" t="n"/>
      <c r="BY82" s="62" t="n"/>
      <c r="BZ82" s="62" t="n"/>
      <c r="CA82" s="62" t="n"/>
      <c r="CB82" s="62" t="n"/>
      <c r="EU82" s="30" t="n"/>
      <c r="EV82" s="30" t="n"/>
      <c r="EW82" s="30" t="n"/>
    </row>
    <row r="83" ht="15" customHeight="1">
      <c r="A83" s="61" t="inlineStr">
        <is>
          <t>Vacía, sin seleccionar</t>
        </is>
      </c>
      <c r="B83" s="62" t="n"/>
      <c r="C83" s="56" t="n"/>
      <c r="D83" s="56" t="n"/>
      <c r="E83" s="56" t="inlineStr">
        <is>
          <t>x</t>
        </is>
      </c>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c r="AB83" s="62" t="n"/>
      <c r="AC83" s="62" t="n"/>
      <c r="AD83" s="62" t="n"/>
      <c r="AE83" s="62" t="n"/>
      <c r="AF83" s="62" t="n"/>
      <c r="AG83" s="62" t="n"/>
      <c r="AH83" s="62" t="n"/>
      <c r="AI83" s="62" t="n"/>
      <c r="AJ83" s="62" t="n"/>
      <c r="AK83" s="62" t="n"/>
      <c r="AL83" s="62" t="n"/>
      <c r="AM83" s="62" t="n"/>
      <c r="AN83" s="62" t="n"/>
      <c r="AO83" s="62" t="n"/>
      <c r="AP83" s="62" t="n"/>
      <c r="AQ83" s="62" t="n"/>
      <c r="AR83" s="62" t="n"/>
      <c r="AS83" s="62" t="n"/>
      <c r="AT83" s="62" t="n"/>
      <c r="AU83" s="62" t="n"/>
      <c r="AV83" s="62" t="n"/>
      <c r="AW83" s="62" t="n"/>
      <c r="AX83" s="62" t="n"/>
      <c r="AY83" s="62" t="n"/>
      <c r="AZ83" s="62" t="n"/>
      <c r="BA83" s="62" t="n"/>
      <c r="BB83" s="62" t="n"/>
      <c r="BC83" s="62" t="n"/>
      <c r="BD83" s="62" t="n"/>
      <c r="BE83" s="62" t="n"/>
      <c r="BF83" s="62" t="n"/>
      <c r="BG83" s="62" t="n"/>
      <c r="BH83" s="62" t="n"/>
      <c r="BI83" s="62" t="n"/>
      <c r="BJ83" s="62" t="n"/>
      <c r="BK83" s="62" t="n"/>
      <c r="BL83" s="62" t="n"/>
      <c r="BM83" s="62" t="n"/>
      <c r="BN83" s="62" t="n"/>
      <c r="BO83" s="62" t="n"/>
      <c r="BP83" s="62" t="n"/>
      <c r="BQ83" s="62" t="n"/>
      <c r="BR83" s="62" t="n"/>
      <c r="BS83" s="62" t="n"/>
      <c r="BT83" s="62" t="n"/>
      <c r="BU83" s="62" t="n"/>
      <c r="BV83" s="62" t="n"/>
      <c r="BW83" s="62" t="n"/>
      <c r="BX83" s="62" t="n"/>
      <c r="BY83" s="62" t="n"/>
      <c r="BZ83" s="62" t="n"/>
      <c r="CA83" s="62" t="n"/>
      <c r="CB83" s="62" t="n"/>
      <c r="EU83" s="30" t="n"/>
      <c r="EV83" s="30" t="n"/>
      <c r="EW83" s="30" t="n"/>
    </row>
    <row r="84" ht="15" customHeight="1">
      <c r="A84" s="47" t="inlineStr">
        <is>
          <t>Suboeración</t>
        </is>
      </c>
      <c r="B84" s="62" t="n"/>
      <c r="C84" s="62" t="n"/>
      <c r="D84" s="62" t="n"/>
      <c r="E84" s="62" t="n"/>
      <c r="F84" s="62" t="n"/>
      <c r="G84" s="62" t="n"/>
      <c r="H84" s="62" t="n"/>
      <c r="I84" s="62" t="n"/>
      <c r="J84" s="62" t="n"/>
      <c r="K84" s="62" t="n"/>
      <c r="L84" s="62" t="n"/>
      <c r="M84" s="62" t="n"/>
      <c r="N84" s="62" t="n"/>
      <c r="O84" s="62" t="n"/>
      <c r="P84" s="62" t="n"/>
      <c r="Q84" s="62" t="n"/>
      <c r="R84" s="62" t="n"/>
      <c r="S84" s="62" t="n"/>
      <c r="T84" s="62" t="n"/>
      <c r="U84" s="62" t="n"/>
      <c r="V84" s="62" t="n"/>
      <c r="W84" s="62" t="n"/>
      <c r="X84" s="62" t="n"/>
      <c r="Y84" s="62" t="n"/>
      <c r="Z84" s="62" t="n"/>
      <c r="AA84" s="62" t="n"/>
      <c r="AB84" s="62" t="n"/>
      <c r="AC84" s="62" t="n"/>
      <c r="AD84" s="62" t="n"/>
      <c r="AE84" s="62" t="n"/>
      <c r="AF84" s="62" t="n"/>
      <c r="AG84" s="62" t="n"/>
      <c r="AH84" s="62" t="n"/>
      <c r="AI84" s="62" t="n"/>
      <c r="AJ84" s="62" t="n"/>
      <c r="AK84" s="62" t="n"/>
      <c r="AL84" s="62" t="n"/>
      <c r="AM84" s="62" t="n"/>
      <c r="AN84" s="62" t="n"/>
      <c r="AO84" s="62" t="n"/>
      <c r="AP84" s="62" t="n"/>
      <c r="AQ84" s="62" t="n"/>
      <c r="AR84" s="62" t="n"/>
      <c r="AS84" s="62" t="n"/>
      <c r="AT84" s="62" t="n"/>
      <c r="AU84" s="62" t="n"/>
      <c r="AV84" s="62" t="n"/>
      <c r="AW84" s="62" t="n"/>
      <c r="AX84" s="62" t="n"/>
      <c r="AY84" s="62" t="n"/>
      <c r="AZ84" s="62" t="n"/>
      <c r="BA84" s="62" t="n"/>
      <c r="BB84" s="62" t="n"/>
      <c r="BC84" s="62" t="n"/>
      <c r="BD84" s="62" t="n"/>
      <c r="BE84" s="62" t="n"/>
      <c r="BF84" s="62" t="n"/>
      <c r="BG84" s="62" t="n"/>
      <c r="BH84" s="62" t="n"/>
      <c r="BI84" s="62" t="n"/>
      <c r="BJ84" s="62" t="n"/>
      <c r="BK84" s="62" t="n"/>
      <c r="BL84" s="62" t="n"/>
      <c r="BM84" s="62" t="n"/>
      <c r="BN84" s="62" t="n"/>
      <c r="BO84" s="62" t="n"/>
      <c r="BP84" s="62" t="n"/>
      <c r="BQ84" s="62" t="n"/>
      <c r="BR84" s="62" t="n"/>
      <c r="BS84" s="62" t="n"/>
      <c r="BT84" s="62" t="n"/>
      <c r="BU84" s="62" t="n"/>
      <c r="BV84" s="62" t="n"/>
      <c r="BW84" s="62" t="n"/>
      <c r="BX84" s="62" t="n"/>
      <c r="BY84" s="62" t="n"/>
      <c r="BZ84" s="62" t="n"/>
      <c r="CA84" s="62" t="n"/>
      <c r="CB84" s="62" t="n"/>
      <c r="EU84" s="30" t="n"/>
      <c r="EV84" s="30" t="n"/>
      <c r="EW84" s="30" t="n"/>
    </row>
    <row r="85" ht="15" customHeight="1">
      <c r="A85" s="52" t="inlineStr">
        <is>
          <t>Válida</t>
        </is>
      </c>
      <c r="B85" s="62" t="n"/>
      <c r="C85" s="56" t="inlineStr">
        <is>
          <t>x</t>
        </is>
      </c>
      <c r="D85" s="56" t="inlineStr">
        <is>
          <t>x</t>
        </is>
      </c>
      <c r="E85" s="56"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c r="AB85" s="62" t="n"/>
      <c r="AC85" s="62" t="n"/>
      <c r="AD85" s="62" t="n"/>
      <c r="AE85" s="62" t="n"/>
      <c r="AF85" s="62" t="n"/>
      <c r="AG85" s="62" t="n"/>
      <c r="AH85" s="62" t="n"/>
      <c r="AI85" s="62" t="n"/>
      <c r="AJ85" s="62" t="n"/>
      <c r="AK85" s="62" t="n"/>
      <c r="AL85" s="62" t="n"/>
      <c r="AM85" s="62" t="n"/>
      <c r="AN85" s="62" t="n"/>
      <c r="AO85" s="62" t="n"/>
      <c r="AP85" s="62" t="n"/>
      <c r="AQ85" s="62" t="n"/>
      <c r="AR85" s="62" t="n"/>
      <c r="AS85" s="62" t="n"/>
      <c r="AT85" s="62" t="n"/>
      <c r="AU85" s="62" t="n"/>
      <c r="AV85" s="62" t="n"/>
      <c r="AW85" s="62" t="n"/>
      <c r="AX85" s="62" t="n"/>
      <c r="AY85" s="62" t="n"/>
      <c r="AZ85" s="62" t="n"/>
      <c r="BA85" s="62" t="n"/>
      <c r="BB85" s="62" t="n"/>
      <c r="BC85" s="62" t="n"/>
      <c r="BD85" s="62" t="n"/>
      <c r="BE85" s="62" t="n"/>
      <c r="BF85" s="62" t="n"/>
      <c r="BG85" s="62" t="n"/>
      <c r="BH85" s="62" t="n"/>
      <c r="BI85" s="62" t="n"/>
      <c r="BJ85" s="62" t="n"/>
      <c r="BK85" s="62" t="n"/>
      <c r="BL85" s="62" t="n"/>
      <c r="BM85" s="62" t="n"/>
      <c r="BN85" s="62" t="n"/>
      <c r="BO85" s="62" t="n"/>
      <c r="BP85" s="62" t="n"/>
      <c r="BQ85" s="62" t="n"/>
      <c r="BR85" s="62" t="n"/>
      <c r="BS85" s="62" t="n"/>
      <c r="BT85" s="62" t="n"/>
      <c r="BU85" s="62" t="n"/>
      <c r="BV85" s="62" t="n"/>
      <c r="BW85" s="62" t="n"/>
      <c r="BX85" s="62" t="n"/>
      <c r="BY85" s="62" t="n"/>
      <c r="BZ85" s="62" t="n"/>
      <c r="CA85" s="62" t="n"/>
      <c r="CB85" s="62" t="n"/>
      <c r="EU85" s="30" t="n"/>
      <c r="EV85" s="30" t="n"/>
      <c r="EW85" s="30" t="n"/>
    </row>
    <row r="86" ht="15" customHeight="1">
      <c r="A86" s="61" t="inlineStr">
        <is>
          <t>Vacía, sin seleccionar</t>
        </is>
      </c>
      <c r="B86" s="62" t="n"/>
      <c r="C86" s="56" t="n"/>
      <c r="D86" s="56" t="n"/>
      <c r="E86" s="56" t="inlineStr">
        <is>
          <t>x</t>
        </is>
      </c>
      <c r="F86" s="62" t="n"/>
      <c r="G86" s="62" t="n"/>
      <c r="H86" s="62" t="n"/>
      <c r="I86" s="62" t="n"/>
      <c r="J86" s="62" t="n"/>
      <c r="K86" s="62" t="n"/>
      <c r="L86" s="62" t="n"/>
      <c r="M86" s="62" t="n"/>
      <c r="N86" s="62" t="n"/>
      <c r="O86" s="62" t="n"/>
      <c r="P86" s="62" t="n"/>
      <c r="Q86" s="62" t="n"/>
      <c r="R86" s="62" t="n"/>
      <c r="S86" s="62" t="n"/>
      <c r="T86" s="62" t="n"/>
      <c r="U86" s="62" t="n"/>
      <c r="V86" s="62" t="n"/>
      <c r="W86" s="62" t="n"/>
      <c r="X86" s="62" t="n"/>
      <c r="Y86" s="62" t="n"/>
      <c r="Z86" s="62" t="n"/>
      <c r="AA86" s="62" t="n"/>
      <c r="AB86" s="62" t="n"/>
      <c r="AC86" s="62" t="n"/>
      <c r="AD86" s="62" t="n"/>
      <c r="AE86" s="62" t="n"/>
      <c r="AF86" s="62" t="n"/>
      <c r="AG86" s="62" t="n"/>
      <c r="AH86" s="62" t="n"/>
      <c r="AI86" s="62" t="n"/>
      <c r="AJ86" s="62" t="n"/>
      <c r="AK86" s="62" t="n"/>
      <c r="AL86" s="62" t="n"/>
      <c r="AM86" s="62" t="n"/>
      <c r="AN86" s="62" t="n"/>
      <c r="AO86" s="62" t="n"/>
      <c r="AP86" s="62" t="n"/>
      <c r="AQ86" s="62" t="n"/>
      <c r="AR86" s="62" t="n"/>
      <c r="AS86" s="62" t="n"/>
      <c r="AT86" s="62" t="n"/>
      <c r="AU86" s="62" t="n"/>
      <c r="AV86" s="62" t="n"/>
      <c r="AW86" s="62" t="n"/>
      <c r="AX86" s="62" t="n"/>
      <c r="AY86" s="62" t="n"/>
      <c r="AZ86" s="62" t="n"/>
      <c r="BA86" s="62" t="n"/>
      <c r="BB86" s="62" t="n"/>
      <c r="BC86" s="62" t="n"/>
      <c r="BD86" s="62" t="n"/>
      <c r="BE86" s="62" t="n"/>
      <c r="BF86" s="62" t="n"/>
      <c r="BG86" s="62" t="n"/>
      <c r="BH86" s="62" t="n"/>
      <c r="BI86" s="62" t="n"/>
      <c r="BJ86" s="62" t="n"/>
      <c r="BK86" s="62" t="n"/>
      <c r="BL86" s="62" t="n"/>
      <c r="BM86" s="62" t="n"/>
      <c r="BN86" s="62" t="n"/>
      <c r="BO86" s="62" t="n"/>
      <c r="BP86" s="62" t="n"/>
      <c r="BQ86" s="62" t="n"/>
      <c r="BR86" s="62" t="n"/>
      <c r="BS86" s="62" t="n"/>
      <c r="BT86" s="62" t="n"/>
      <c r="BU86" s="62" t="n"/>
      <c r="BV86" s="62" t="n"/>
      <c r="BW86" s="62" t="n"/>
      <c r="BX86" s="62" t="n"/>
      <c r="BY86" s="62" t="n"/>
      <c r="BZ86" s="62" t="n"/>
      <c r="CA86" s="62" t="n"/>
      <c r="CB86" s="62" t="n"/>
      <c r="EU86" s="30" t="n"/>
      <c r="EV86" s="30" t="n"/>
      <c r="EW86" s="30" t="n"/>
    </row>
    <row r="87" ht="15" customHeight="1">
      <c r="A87" s="47" t="inlineStr">
        <is>
          <t>Sucursal</t>
        </is>
      </c>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c r="AB87" s="62" t="n"/>
      <c r="AC87" s="62" t="n"/>
      <c r="AD87" s="62" t="n"/>
      <c r="AE87" s="62" t="n"/>
      <c r="AF87" s="62" t="n"/>
      <c r="AG87" s="62" t="n"/>
      <c r="AH87" s="62" t="n"/>
      <c r="AI87" s="62" t="n"/>
      <c r="AJ87" s="62" t="n"/>
      <c r="AK87" s="62" t="n"/>
      <c r="AL87" s="62" t="n"/>
      <c r="AM87" s="62" t="n"/>
      <c r="AN87" s="62" t="n"/>
      <c r="AO87" s="62" t="n"/>
      <c r="AP87" s="62" t="n"/>
      <c r="AQ87" s="62" t="n"/>
      <c r="AR87" s="62" t="n"/>
      <c r="AS87" s="62" t="n"/>
      <c r="AT87" s="62" t="n"/>
      <c r="AU87" s="62" t="n"/>
      <c r="AV87" s="62" t="n"/>
      <c r="AW87" s="62" t="n"/>
      <c r="AX87" s="62" t="n"/>
      <c r="AY87" s="62" t="n"/>
      <c r="AZ87" s="62" t="n"/>
      <c r="BA87" s="62" t="n"/>
      <c r="BB87" s="62" t="n"/>
      <c r="BC87" s="62" t="n"/>
      <c r="BD87" s="62" t="n"/>
      <c r="BE87" s="62" t="n"/>
      <c r="BF87" s="62" t="n"/>
      <c r="BG87" s="62" t="n"/>
      <c r="BH87" s="62" t="n"/>
      <c r="BI87" s="62" t="n"/>
      <c r="BJ87" s="62" t="n"/>
      <c r="BK87" s="62" t="n"/>
      <c r="BL87" s="62" t="n"/>
      <c r="BM87" s="62" t="n"/>
      <c r="BN87" s="62" t="n"/>
      <c r="BO87" s="62" t="n"/>
      <c r="BP87" s="62" t="n"/>
      <c r="BQ87" s="62" t="n"/>
      <c r="BR87" s="62" t="n"/>
      <c r="BS87" s="62" t="n"/>
      <c r="BT87" s="62" t="n"/>
      <c r="BU87" s="62" t="n"/>
      <c r="BV87" s="62" t="n"/>
      <c r="BW87" s="62" t="n"/>
      <c r="BX87" s="62" t="n"/>
      <c r="BY87" s="62" t="n"/>
      <c r="BZ87" s="62" t="n"/>
      <c r="CA87" s="62" t="n"/>
      <c r="CB87" s="62" t="n"/>
      <c r="EU87" s="30" t="n"/>
      <c r="EV87" s="30" t="n"/>
      <c r="EW87" s="30" t="n"/>
    </row>
    <row r="88" ht="15" customHeight="1">
      <c r="A88" s="52" t="inlineStr">
        <is>
          <t>Válida</t>
        </is>
      </c>
      <c r="B88" s="62" t="n"/>
      <c r="C88" s="56" t="inlineStr">
        <is>
          <t>x</t>
        </is>
      </c>
      <c r="D88" s="56" t="inlineStr">
        <is>
          <t>x</t>
        </is>
      </c>
      <c r="E88" s="56" t="n"/>
      <c r="F88" s="62" t="n"/>
      <c r="G88" s="62" t="n"/>
      <c r="H88" s="62" t="n"/>
      <c r="I88" s="62" t="n"/>
      <c r="J88" s="62" t="n"/>
      <c r="K88" s="62" t="n"/>
      <c r="L88" s="62" t="n"/>
      <c r="M88" s="62" t="n"/>
      <c r="N88" s="62" t="n"/>
      <c r="O88" s="62" t="n"/>
      <c r="P88" s="62" t="n"/>
      <c r="Q88" s="62" t="n"/>
      <c r="R88" s="62" t="n"/>
      <c r="S88" s="62" t="n"/>
      <c r="T88" s="62" t="n"/>
      <c r="U88" s="62" t="n"/>
      <c r="V88" s="62" t="n"/>
      <c r="W88" s="62" t="n"/>
      <c r="X88" s="62" t="n"/>
      <c r="Y88" s="62" t="n"/>
      <c r="Z88" s="62" t="n"/>
      <c r="AA88" s="62" t="n"/>
      <c r="AB88" s="62" t="n"/>
      <c r="AC88" s="62" t="n"/>
      <c r="AD88" s="62" t="n"/>
      <c r="AE88" s="62" t="n"/>
      <c r="AF88" s="62" t="n"/>
      <c r="AG88" s="62" t="n"/>
      <c r="AH88" s="62" t="n"/>
      <c r="AI88" s="62" t="n"/>
      <c r="AJ88" s="62" t="n"/>
      <c r="AK88" s="62" t="n"/>
      <c r="AL88" s="62" t="n"/>
      <c r="AM88" s="62" t="n"/>
      <c r="AN88" s="62" t="n"/>
      <c r="AO88" s="62" t="n"/>
      <c r="AP88" s="62" t="n"/>
      <c r="AQ88" s="62" t="n"/>
      <c r="AR88" s="62" t="n"/>
      <c r="AS88" s="62" t="n"/>
      <c r="AT88" s="62" t="n"/>
      <c r="AU88" s="62" t="n"/>
      <c r="AV88" s="62" t="n"/>
      <c r="AW88" s="62" t="n"/>
      <c r="AX88" s="62" t="n"/>
      <c r="AY88" s="62" t="n"/>
      <c r="AZ88" s="62" t="n"/>
      <c r="BA88" s="62" t="n"/>
      <c r="BB88" s="62" t="n"/>
      <c r="BC88" s="62" t="n"/>
      <c r="BD88" s="62" t="n"/>
      <c r="BE88" s="62" t="n"/>
      <c r="BF88" s="62" t="n"/>
      <c r="BG88" s="62" t="n"/>
      <c r="BH88" s="62" t="n"/>
      <c r="BI88" s="62" t="n"/>
      <c r="BJ88" s="62" t="n"/>
      <c r="BK88" s="62" t="n"/>
      <c r="BL88" s="62" t="n"/>
      <c r="BM88" s="62" t="n"/>
      <c r="BN88" s="62" t="n"/>
      <c r="BO88" s="62" t="n"/>
      <c r="BP88" s="62" t="n"/>
      <c r="BQ88" s="62" t="n"/>
      <c r="BR88" s="62" t="n"/>
      <c r="BS88" s="62" t="n"/>
      <c r="BT88" s="62" t="n"/>
      <c r="BU88" s="62" t="n"/>
      <c r="BV88" s="62" t="n"/>
      <c r="BW88" s="62" t="n"/>
      <c r="BX88" s="62" t="n"/>
      <c r="BY88" s="62" t="n"/>
      <c r="BZ88" s="62" t="n"/>
      <c r="CA88" s="62" t="n"/>
      <c r="CB88" s="62" t="n"/>
      <c r="EU88" s="30" t="n"/>
      <c r="EV88" s="30" t="n"/>
      <c r="EW88" s="30" t="n"/>
    </row>
    <row r="89" ht="15" customHeight="1">
      <c r="A89" s="61" t="inlineStr">
        <is>
          <t>Vacía, sin seleccionar</t>
        </is>
      </c>
      <c r="B89" s="62" t="n"/>
      <c r="C89" s="56" t="n"/>
      <c r="D89" s="56" t="n"/>
      <c r="E89" s="56" t="inlineStr">
        <is>
          <t>x</t>
        </is>
      </c>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c r="AB89" s="62" t="n"/>
      <c r="AC89" s="62" t="n"/>
      <c r="AD89" s="62" t="n"/>
      <c r="AE89" s="62" t="n"/>
      <c r="AF89" s="62" t="n"/>
      <c r="AG89" s="62" t="n"/>
      <c r="AH89" s="62" t="n"/>
      <c r="AI89" s="62" t="n"/>
      <c r="AJ89" s="62" t="n"/>
      <c r="AK89" s="62" t="n"/>
      <c r="AL89" s="62" t="n"/>
      <c r="AM89" s="62" t="n"/>
      <c r="AN89" s="62" t="n"/>
      <c r="AO89" s="62" t="n"/>
      <c r="AP89" s="62" t="n"/>
      <c r="AQ89" s="62" t="n"/>
      <c r="AR89" s="62" t="n"/>
      <c r="AS89" s="62" t="n"/>
      <c r="AT89" s="62" t="n"/>
      <c r="AU89" s="62" t="n"/>
      <c r="AV89" s="62" t="n"/>
      <c r="AW89" s="62" t="n"/>
      <c r="AX89" s="62" t="n"/>
      <c r="AY89" s="62" t="n"/>
      <c r="AZ89" s="62" t="n"/>
      <c r="BA89" s="62" t="n"/>
      <c r="BB89" s="62" t="n"/>
      <c r="BC89" s="62" t="n"/>
      <c r="BD89" s="62" t="n"/>
      <c r="BE89" s="62" t="n"/>
      <c r="BF89" s="62" t="n"/>
      <c r="BG89" s="62" t="n"/>
      <c r="BH89" s="62" t="n"/>
      <c r="BI89" s="62" t="n"/>
      <c r="BJ89" s="62" t="n"/>
      <c r="BK89" s="62" t="n"/>
      <c r="BL89" s="62" t="n"/>
      <c r="BM89" s="62" t="n"/>
      <c r="BN89" s="62" t="n"/>
      <c r="BO89" s="62" t="n"/>
      <c r="BP89" s="62" t="n"/>
      <c r="BQ89" s="62" t="n"/>
      <c r="BR89" s="62" t="n"/>
      <c r="BS89" s="62" t="n"/>
      <c r="BT89" s="62" t="n"/>
      <c r="BU89" s="62" t="n"/>
      <c r="BV89" s="62" t="n"/>
      <c r="BW89" s="62" t="n"/>
      <c r="BX89" s="62" t="n"/>
      <c r="BY89" s="62" t="n"/>
      <c r="BZ89" s="62" t="n"/>
      <c r="CA89" s="62" t="n"/>
      <c r="CB89" s="62" t="n"/>
      <c r="EU89" s="30" t="n"/>
      <c r="EV89" s="30" t="n"/>
      <c r="EW89" s="30" t="n"/>
    </row>
    <row r="90" ht="15" customHeight="1">
      <c r="A90" s="47" t="inlineStr">
        <is>
          <t>Número de cheque</t>
        </is>
      </c>
      <c r="C90" s="62" t="n"/>
    </row>
    <row r="91" ht="15" customHeight="1">
      <c r="A91" s="52" t="inlineStr">
        <is>
          <t>Válido</t>
        </is>
      </c>
      <c r="B91" s="62" t="n"/>
      <c r="C91" s="56" t="inlineStr">
        <is>
          <t>x</t>
        </is>
      </c>
      <c r="D91" s="56" t="n"/>
      <c r="E91" s="56"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c r="AB91" s="62" t="n"/>
      <c r="AC91" s="62" t="n"/>
      <c r="AD91" s="62" t="n"/>
      <c r="AE91" s="62" t="n"/>
      <c r="AF91" s="62" t="n"/>
      <c r="AG91" s="62" t="n"/>
      <c r="AH91" s="62" t="n"/>
      <c r="AI91" s="62" t="n"/>
      <c r="AJ91" s="62" t="n"/>
      <c r="AK91" s="62" t="n"/>
      <c r="AL91" s="62" t="n"/>
      <c r="AM91" s="62" t="n"/>
      <c r="AN91" s="62" t="n"/>
      <c r="AO91" s="62" t="n"/>
      <c r="AP91" s="62" t="n"/>
      <c r="AQ91" s="62" t="n"/>
      <c r="AR91" s="62" t="n"/>
      <c r="AS91" s="62" t="n"/>
      <c r="AT91" s="62" t="n"/>
      <c r="AU91" s="62" t="n"/>
      <c r="AV91" s="62" t="n"/>
      <c r="AW91" s="62" t="n"/>
      <c r="AX91" s="62" t="n"/>
      <c r="AY91" s="62" t="n"/>
      <c r="AZ91" s="62" t="n"/>
      <c r="BA91" s="62" t="n"/>
      <c r="BB91" s="62" t="n"/>
      <c r="BC91" s="62" t="n"/>
      <c r="BD91" s="62" t="n"/>
      <c r="BE91" s="62" t="n"/>
      <c r="BF91" s="62" t="n"/>
      <c r="BG91" s="62" t="n"/>
      <c r="BH91" s="62" t="n"/>
      <c r="BI91" s="62" t="n"/>
      <c r="BJ91" s="62" t="n"/>
      <c r="BK91" s="62" t="n"/>
      <c r="BL91" s="62" t="n"/>
      <c r="BM91" s="62" t="n"/>
      <c r="BN91" s="62" t="n"/>
      <c r="BO91" s="62" t="n"/>
      <c r="BP91" s="62" t="n"/>
      <c r="BQ91" s="62" t="n"/>
      <c r="BR91" s="62" t="n"/>
      <c r="BS91" s="62" t="n"/>
      <c r="BT91" s="62" t="n"/>
      <c r="BU91" s="62" t="n"/>
      <c r="BV91" s="62" t="n"/>
      <c r="BW91" s="62" t="n"/>
      <c r="BX91" s="62" t="n"/>
      <c r="BY91" s="62" t="n"/>
      <c r="BZ91" s="62" t="n"/>
      <c r="CA91" s="62" t="n"/>
      <c r="CB91" s="62" t="n"/>
      <c r="EU91" s="30" t="n"/>
      <c r="EV91" s="30" t="n"/>
      <c r="EW91" s="30" t="n"/>
    </row>
    <row r="92" ht="15" customHeight="1">
      <c r="A92" s="61" t="inlineStr">
        <is>
          <t>Duplicado</t>
        </is>
      </c>
      <c r="B92" s="62" t="n"/>
      <c r="C92" s="56" t="n"/>
      <c r="D92" s="56" t="inlineStr">
        <is>
          <t>x</t>
        </is>
      </c>
      <c r="E92" s="56" t="n"/>
      <c r="F92" s="62" t="n"/>
      <c r="G92" s="62" t="n"/>
      <c r="H92" s="62" t="n"/>
      <c r="I92" s="62" t="n"/>
      <c r="J92" s="62" t="n"/>
      <c r="K92" s="62" t="n"/>
      <c r="L92" s="62" t="n"/>
      <c r="M92" s="62" t="n"/>
      <c r="N92" s="62" t="n"/>
      <c r="O92" s="62" t="n"/>
      <c r="P92" s="62" t="n"/>
      <c r="Q92" s="62" t="n"/>
      <c r="R92" s="62" t="n"/>
      <c r="S92" s="62" t="n"/>
      <c r="T92" s="62" t="n"/>
      <c r="U92" s="62" t="n"/>
      <c r="V92" s="62" t="n"/>
      <c r="W92" s="62" t="n"/>
      <c r="X92" s="62" t="n"/>
      <c r="Y92" s="62" t="n"/>
      <c r="Z92" s="62" t="n"/>
      <c r="AA92" s="62" t="n"/>
      <c r="AB92" s="62" t="n"/>
      <c r="AC92" s="62" t="n"/>
      <c r="AD92" s="62" t="n"/>
      <c r="AE92" s="62" t="n"/>
      <c r="AF92" s="62" t="n"/>
      <c r="AG92" s="62" t="n"/>
      <c r="AH92" s="62" t="n"/>
      <c r="AI92" s="62" t="n"/>
      <c r="AJ92" s="62" t="n"/>
      <c r="AK92" s="62" t="n"/>
      <c r="AL92" s="62" t="n"/>
      <c r="AM92" s="62" t="n"/>
      <c r="AN92" s="62" t="n"/>
      <c r="AO92" s="62" t="n"/>
      <c r="AP92" s="62" t="n"/>
      <c r="AQ92" s="62" t="n"/>
      <c r="AR92" s="62" t="n"/>
      <c r="AS92" s="62" t="n"/>
      <c r="AT92" s="62" t="n"/>
      <c r="AU92" s="62" t="n"/>
      <c r="AV92" s="62" t="n"/>
      <c r="AW92" s="62" t="n"/>
      <c r="AX92" s="62" t="n"/>
      <c r="AY92" s="62" t="n"/>
      <c r="AZ92" s="62" t="n"/>
      <c r="BA92" s="62" t="n"/>
      <c r="BB92" s="62" t="n"/>
      <c r="BC92" s="62" t="n"/>
      <c r="BD92" s="62" t="n"/>
      <c r="BE92" s="62" t="n"/>
      <c r="BF92" s="62" t="n"/>
      <c r="BG92" s="62" t="n"/>
      <c r="BH92" s="62" t="n"/>
      <c r="BI92" s="62" t="n"/>
      <c r="BJ92" s="62" t="n"/>
      <c r="BK92" s="62" t="n"/>
      <c r="BL92" s="62" t="n"/>
      <c r="BM92" s="62" t="n"/>
      <c r="BN92" s="62" t="n"/>
      <c r="BO92" s="62" t="n"/>
      <c r="BP92" s="62" t="n"/>
      <c r="BQ92" s="62" t="n"/>
      <c r="BR92" s="62" t="n"/>
      <c r="BS92" s="62" t="n"/>
      <c r="BT92" s="62" t="n"/>
      <c r="BU92" s="62" t="n"/>
      <c r="BV92" s="62" t="n"/>
      <c r="BW92" s="62" t="n"/>
      <c r="BX92" s="62" t="n"/>
      <c r="BY92" s="62" t="n"/>
      <c r="BZ92" s="62" t="n"/>
      <c r="CA92" s="62" t="n"/>
      <c r="CB92" s="62" t="n"/>
      <c r="EU92" s="30" t="n"/>
      <c r="EV92" s="30" t="n"/>
      <c r="EW92" s="30" t="n"/>
    </row>
    <row r="93" ht="15" customHeight="1">
      <c r="A93" s="61" t="inlineStr">
        <is>
          <t>Vacío o nulo</t>
        </is>
      </c>
      <c r="B93" s="62" t="n"/>
      <c r="C93" s="56" t="n"/>
      <c r="D93" s="56" t="n"/>
      <c r="E93" s="56" t="inlineStr">
        <is>
          <t>x</t>
        </is>
      </c>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c r="AB93" s="62" t="n"/>
      <c r="AC93" s="62" t="n"/>
      <c r="AD93" s="62" t="n"/>
      <c r="AE93" s="62" t="n"/>
      <c r="AF93" s="62" t="n"/>
      <c r="AG93" s="62" t="n"/>
      <c r="AH93" s="62" t="n"/>
      <c r="AI93" s="62" t="n"/>
      <c r="AJ93" s="62" t="n"/>
      <c r="AK93" s="62" t="n"/>
      <c r="AL93" s="62" t="n"/>
      <c r="AM93" s="62" t="n"/>
      <c r="AN93" s="62" t="n"/>
      <c r="AO93" s="62" t="n"/>
      <c r="AP93" s="62" t="n"/>
      <c r="AQ93" s="62" t="n"/>
      <c r="AR93" s="62" t="n"/>
      <c r="AS93" s="62" t="n"/>
      <c r="AT93" s="62" t="n"/>
      <c r="AU93" s="62" t="n"/>
      <c r="AV93" s="62" t="n"/>
      <c r="AW93" s="62" t="n"/>
      <c r="AX93" s="62" t="n"/>
      <c r="AY93" s="62" t="n"/>
      <c r="AZ93" s="62" t="n"/>
      <c r="BA93" s="62" t="n"/>
      <c r="BB93" s="62" t="n"/>
      <c r="BC93" s="62" t="n"/>
      <c r="BD93" s="62" t="n"/>
      <c r="BE93" s="62" t="n"/>
      <c r="BF93" s="62" t="n"/>
      <c r="BG93" s="62" t="n"/>
      <c r="BH93" s="62" t="n"/>
      <c r="BI93" s="62" t="n"/>
      <c r="BJ93" s="62" t="n"/>
      <c r="BK93" s="62" t="n"/>
      <c r="BL93" s="62" t="n"/>
      <c r="BM93" s="62" t="n"/>
      <c r="BN93" s="62" t="n"/>
      <c r="BO93" s="62" t="n"/>
      <c r="BP93" s="62" t="n"/>
      <c r="BQ93" s="62" t="n"/>
      <c r="BR93" s="62" t="n"/>
      <c r="BS93" s="62" t="n"/>
      <c r="BT93" s="62" t="n"/>
      <c r="BU93" s="62" t="n"/>
      <c r="BV93" s="62" t="n"/>
      <c r="BW93" s="62" t="n"/>
      <c r="BX93" s="62" t="n"/>
      <c r="BY93" s="62" t="n"/>
      <c r="BZ93" s="62" t="n"/>
      <c r="CA93" s="62" t="n"/>
      <c r="CB93" s="62" t="n"/>
      <c r="EU93" s="30" t="n"/>
      <c r="EV93" s="30" t="n"/>
      <c r="EW93" s="30" t="n"/>
    </row>
    <row r="94" ht="15" customHeight="1">
      <c r="A94" s="47" t="inlineStr">
        <is>
          <t>Acciones</t>
        </is>
      </c>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c r="AA94" s="57" t="n"/>
      <c r="AB94" s="57" t="n"/>
      <c r="AC94" s="57" t="n"/>
      <c r="AD94" s="57" t="n"/>
      <c r="AE94" s="57" t="n"/>
      <c r="AF94" s="57" t="n"/>
      <c r="AG94" s="57" t="n"/>
      <c r="AH94" s="57" t="n"/>
      <c r="AI94" s="57" t="n"/>
      <c r="AJ94" s="57" t="n"/>
      <c r="AK94" s="57" t="n"/>
      <c r="AL94" s="57" t="n"/>
      <c r="AM94" s="57" t="n"/>
      <c r="AN94" s="57" t="n"/>
      <c r="AO94" s="57" t="n"/>
      <c r="AP94" s="57" t="n"/>
      <c r="AQ94" s="57" t="n"/>
      <c r="AR94" s="57" t="n"/>
      <c r="AS94" s="57" t="n"/>
      <c r="AT94" s="57" t="n"/>
      <c r="AU94" s="57" t="n"/>
      <c r="AV94" s="57" t="n"/>
      <c r="AW94" s="57" t="n"/>
      <c r="AX94" s="57" t="n"/>
      <c r="AY94" s="57" t="n"/>
      <c r="AZ94" s="57" t="n"/>
      <c r="BA94" s="57" t="n"/>
      <c r="BB94" s="57" t="n"/>
      <c r="BC94" s="57" t="n"/>
      <c r="BD94" s="57" t="n"/>
      <c r="BE94" s="57" t="n"/>
      <c r="BF94" s="57" t="n"/>
      <c r="BG94" s="57" t="n"/>
      <c r="BH94" s="57" t="n"/>
      <c r="BI94" s="57" t="n"/>
      <c r="BJ94" s="57" t="n"/>
      <c r="BK94" s="57" t="n"/>
      <c r="BL94" s="57" t="n"/>
      <c r="BM94" s="57" t="n"/>
      <c r="BN94" s="57" t="n"/>
      <c r="BO94" s="57" t="n"/>
      <c r="BP94" s="57" t="n"/>
      <c r="BQ94" s="57" t="n"/>
      <c r="BR94" s="57" t="n"/>
      <c r="BS94" s="57" t="n"/>
      <c r="BT94" s="57" t="n"/>
      <c r="BU94" s="57" t="n"/>
      <c r="BV94" s="57" t="n"/>
      <c r="BW94" s="57" t="n"/>
      <c r="BX94" s="57" t="n"/>
      <c r="BY94" s="57" t="n"/>
      <c r="BZ94" s="57" t="n"/>
      <c r="CA94" s="57" t="n"/>
      <c r="CB94" s="57" t="n"/>
    </row>
    <row r="95" ht="14.25" customHeight="1">
      <c r="A95" s="53" t="inlineStr">
        <is>
          <t>Confirmar</t>
        </is>
      </c>
      <c r="B95" s="56" t="inlineStr">
        <is>
          <t>x</t>
        </is>
      </c>
      <c r="C95" s="56" t="inlineStr">
        <is>
          <t>x</t>
        </is>
      </c>
      <c r="D95" s="56" t="n"/>
      <c r="E95" s="56" t="n"/>
      <c r="F95" s="56" t="n"/>
      <c r="G95" s="56" t="inlineStr">
        <is>
          <t>x</t>
        </is>
      </c>
      <c r="H95" s="56" t="inlineStr">
        <is>
          <t>x</t>
        </is>
      </c>
      <c r="I95" s="56" t="inlineStr">
        <is>
          <t>x</t>
        </is>
      </c>
      <c r="J95" s="56" t="inlineStr">
        <is>
          <t>x</t>
        </is>
      </c>
      <c r="K95" s="56" t="inlineStr">
        <is>
          <t>x</t>
        </is>
      </c>
      <c r="L95" s="56" t="inlineStr">
        <is>
          <t>x</t>
        </is>
      </c>
      <c r="M95" s="56" t="inlineStr">
        <is>
          <t>x</t>
        </is>
      </c>
      <c r="N95" s="56" t="inlineStr">
        <is>
          <t>x</t>
        </is>
      </c>
      <c r="O95" s="56" t="inlineStr">
        <is>
          <t>x</t>
        </is>
      </c>
      <c r="P95" s="56" t="inlineStr">
        <is>
          <t>x</t>
        </is>
      </c>
      <c r="Q95" s="56" t="n"/>
      <c r="R95" s="56" t="inlineStr">
        <is>
          <t>x</t>
        </is>
      </c>
      <c r="S95" s="56" t="inlineStr">
        <is>
          <t>x</t>
        </is>
      </c>
      <c r="T95" s="56" t="inlineStr">
        <is>
          <t>x</t>
        </is>
      </c>
      <c r="U95" s="56" t="inlineStr">
        <is>
          <t>x</t>
        </is>
      </c>
      <c r="V95" s="56" t="inlineStr">
        <is>
          <t>x</t>
        </is>
      </c>
      <c r="W95" s="56" t="inlineStr">
        <is>
          <t>x</t>
        </is>
      </c>
      <c r="X95" s="56" t="inlineStr">
        <is>
          <t>x</t>
        </is>
      </c>
      <c r="Y95" s="56" t="inlineStr">
        <is>
          <t>x</t>
        </is>
      </c>
      <c r="Z95" s="56" t="inlineStr">
        <is>
          <t>x</t>
        </is>
      </c>
      <c r="AA95" s="56" t="n"/>
      <c r="AB95" s="56" t="n"/>
      <c r="AC95" s="56" t="n"/>
      <c r="AD95" s="56" t="n"/>
      <c r="AE95" s="56" t="n"/>
      <c r="AF95" s="56" t="n"/>
      <c r="AG95" s="56" t="n"/>
      <c r="AH95" s="56" t="n"/>
      <c r="AI95" s="56" t="n"/>
      <c r="AJ95" s="56" t="n"/>
      <c r="AK95" s="56" t="n"/>
      <c r="AL95" s="56" t="n"/>
      <c r="AM95" s="56" t="n"/>
      <c r="AN95" s="56" t="n"/>
      <c r="AO95" s="56" t="n"/>
      <c r="AP95" s="56" t="n"/>
      <c r="AQ95" s="56" t="n"/>
      <c r="AR95" s="56" t="inlineStr">
        <is>
          <t>x</t>
        </is>
      </c>
      <c r="AS95" s="56" t="inlineStr">
        <is>
          <t>x</t>
        </is>
      </c>
      <c r="AT95" s="56" t="inlineStr">
        <is>
          <t>x</t>
        </is>
      </c>
      <c r="AU95" s="56" t="n"/>
      <c r="AV95" s="56" t="inlineStr">
        <is>
          <t>x</t>
        </is>
      </c>
      <c r="AW95" s="56" t="inlineStr">
        <is>
          <t>x</t>
        </is>
      </c>
      <c r="AX95" s="56" t="inlineStr">
        <is>
          <t>x</t>
        </is>
      </c>
      <c r="AY95" s="56" t="inlineStr">
        <is>
          <t>x</t>
        </is>
      </c>
      <c r="AZ95" s="56" t="inlineStr">
        <is>
          <t>x</t>
        </is>
      </c>
      <c r="BA95" s="56" t="inlineStr">
        <is>
          <t>x</t>
        </is>
      </c>
      <c r="BB95" s="56" t="inlineStr">
        <is>
          <t>x</t>
        </is>
      </c>
      <c r="BC95" s="56" t="inlineStr">
        <is>
          <t>x</t>
        </is>
      </c>
      <c r="BD95" s="56" t="inlineStr">
        <is>
          <t>x</t>
        </is>
      </c>
      <c r="BE95" s="56" t="inlineStr">
        <is>
          <t>x</t>
        </is>
      </c>
      <c r="BF95" s="56" t="inlineStr">
        <is>
          <t>x</t>
        </is>
      </c>
      <c r="BG95" s="56" t="inlineStr">
        <is>
          <t>x</t>
        </is>
      </c>
      <c r="BH95" s="56" t="inlineStr">
        <is>
          <t>x</t>
        </is>
      </c>
      <c r="BI95" s="56" t="n"/>
      <c r="BJ95" s="56" t="n"/>
      <c r="BK95" s="56" t="n"/>
      <c r="BL95" s="56" t="n"/>
      <c r="BM95" s="56" t="inlineStr">
        <is>
          <t>x</t>
        </is>
      </c>
      <c r="BN95" s="56" t="inlineStr">
        <is>
          <t>x</t>
        </is>
      </c>
      <c r="BO95" s="56" t="inlineStr">
        <is>
          <t>x</t>
        </is>
      </c>
      <c r="BP95" s="56" t="inlineStr">
        <is>
          <t>x</t>
        </is>
      </c>
      <c r="BQ95" s="56" t="inlineStr">
        <is>
          <t>x</t>
        </is>
      </c>
      <c r="BR95" s="56" t="inlineStr">
        <is>
          <t>x</t>
        </is>
      </c>
      <c r="BS95" s="56" t="inlineStr">
        <is>
          <t>x</t>
        </is>
      </c>
      <c r="BT95" s="56" t="inlineStr">
        <is>
          <t>x</t>
        </is>
      </c>
      <c r="BU95" s="56" t="inlineStr">
        <is>
          <t>x</t>
        </is>
      </c>
      <c r="BV95" s="56" t="inlineStr">
        <is>
          <t>x</t>
        </is>
      </c>
      <c r="BW95" s="56" t="inlineStr">
        <is>
          <t>x</t>
        </is>
      </c>
      <c r="BX95" s="56" t="inlineStr">
        <is>
          <t>x</t>
        </is>
      </c>
      <c r="BY95" s="56" t="inlineStr">
        <is>
          <t>x</t>
        </is>
      </c>
      <c r="BZ95" s="56" t="inlineStr">
        <is>
          <t>x</t>
        </is>
      </c>
      <c r="CA95" s="56" t="inlineStr">
        <is>
          <t>x</t>
        </is>
      </c>
      <c r="CB95" s="56" t="inlineStr">
        <is>
          <t>x</t>
        </is>
      </c>
    </row>
    <row r="96" ht="15" customHeight="1">
      <c r="A96" s="53" t="inlineStr">
        <is>
          <t>Aceptar (Impresión timbre)</t>
        </is>
      </c>
      <c r="B96" s="56" t="inlineStr">
        <is>
          <t>x</t>
        </is>
      </c>
      <c r="C96" s="56" t="inlineStr">
        <is>
          <t>x</t>
        </is>
      </c>
      <c r="D96" s="56" t="n"/>
      <c r="E96" s="56" t="n"/>
      <c r="F96" s="56" t="n"/>
      <c r="G96" s="56" t="inlineStr">
        <is>
          <t>x</t>
        </is>
      </c>
      <c r="H96" s="56" t="inlineStr">
        <is>
          <t>x</t>
        </is>
      </c>
      <c r="I96" s="56" t="inlineStr">
        <is>
          <t>x</t>
        </is>
      </c>
      <c r="J96" s="56" t="inlineStr">
        <is>
          <t>x</t>
        </is>
      </c>
      <c r="K96" s="56" t="inlineStr">
        <is>
          <t>x</t>
        </is>
      </c>
      <c r="L96" s="56" t="inlineStr">
        <is>
          <t>x</t>
        </is>
      </c>
      <c r="M96" s="56" t="n"/>
      <c r="N96" s="56" t="n"/>
      <c r="O96" s="56" t="n"/>
      <c r="P96" s="56" t="n"/>
      <c r="Q96" s="56" t="n"/>
      <c r="R96" s="56" t="n"/>
      <c r="S96" s="56" t="n"/>
      <c r="T96" s="56" t="n"/>
      <c r="U96" s="56" t="n"/>
      <c r="V96" s="56" t="n"/>
      <c r="W96" s="56" t="n"/>
      <c r="X96" s="56" t="n"/>
      <c r="Y96" s="56" t="n"/>
      <c r="Z96" s="56" t="n"/>
      <c r="AA96" s="56" t="n"/>
      <c r="AB96" s="56" t="n"/>
      <c r="AC96" s="56" t="n"/>
      <c r="AD96" s="56" t="n"/>
      <c r="AE96" s="56" t="n"/>
      <c r="AF96" s="56" t="n"/>
      <c r="AG96" s="56" t="n"/>
      <c r="AH96" s="56" t="n"/>
      <c r="AI96" s="56" t="n"/>
      <c r="AJ96" s="56" t="n"/>
      <c r="AK96" s="56" t="n"/>
      <c r="AL96" s="56" t="n"/>
      <c r="AM96" s="56" t="n"/>
      <c r="AN96" s="56" t="n"/>
      <c r="AO96" s="56" t="n"/>
      <c r="AP96" s="56" t="n"/>
      <c r="AQ96" s="56" t="n"/>
      <c r="AR96" s="56" t="n"/>
      <c r="AS96" s="67" t="n"/>
      <c r="AT96" s="56" t="n"/>
      <c r="AU96" s="56" t="n"/>
      <c r="AV96" s="56" t="n"/>
      <c r="AW96" s="67" t="n"/>
      <c r="AX96" s="56" t="n"/>
      <c r="AY96" s="56" t="n"/>
      <c r="AZ96" s="67" t="n"/>
      <c r="BA96" s="56" t="n"/>
      <c r="BB96" s="56" t="n"/>
      <c r="BC96" s="67" t="n"/>
      <c r="BD96" s="56" t="n"/>
      <c r="BE96" s="56" t="n"/>
      <c r="BF96" s="67" t="n"/>
      <c r="BG96" s="56" t="n"/>
      <c r="BH96" s="56" t="n"/>
      <c r="BI96" s="67" t="n"/>
      <c r="BJ96" s="67" t="n"/>
      <c r="BK96" s="67" t="n"/>
      <c r="BL96" s="67" t="n"/>
      <c r="BM96" s="67" t="n"/>
      <c r="BN96" s="56" t="n"/>
      <c r="BO96" s="56" t="n"/>
      <c r="BP96" s="67" t="n"/>
      <c r="BQ96" s="56" t="n"/>
      <c r="BR96" s="56" t="n"/>
      <c r="BS96" s="67" t="n"/>
      <c r="BT96" s="56" t="n"/>
      <c r="BU96" s="56" t="n"/>
      <c r="BV96" s="67" t="n"/>
      <c r="BW96" s="56" t="n"/>
      <c r="BX96" s="56" t="n"/>
      <c r="BY96" s="67" t="n"/>
      <c r="BZ96" s="56" t="n"/>
      <c r="CA96" s="56" t="n"/>
      <c r="CB96" s="67" t="n"/>
    </row>
    <row r="97" ht="15" customHeight="1">
      <c r="A97" s="53" t="inlineStr">
        <is>
          <t>Reprocesar (Caja Pago Remesas internacionales)</t>
        </is>
      </c>
      <c r="B97" s="56" t="n"/>
      <c r="C97" s="56" t="n"/>
      <c r="D97" s="56" t="n"/>
      <c r="E97" s="56" t="n"/>
      <c r="F97" s="56" t="n"/>
      <c r="G97" s="56" t="n"/>
      <c r="H97" s="56" t="n"/>
      <c r="I97" s="56" t="n"/>
      <c r="J97" s="56" t="inlineStr">
        <is>
          <t>x</t>
        </is>
      </c>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67" t="n"/>
      <c r="AT97" s="56" t="n"/>
      <c r="AU97" s="56" t="n"/>
      <c r="AV97" s="56" t="n"/>
      <c r="AW97" s="67" t="n"/>
      <c r="AX97" s="56" t="n"/>
      <c r="AY97" s="56" t="n"/>
      <c r="AZ97" s="67" t="n"/>
      <c r="BA97" s="56" t="n"/>
      <c r="BB97" s="56" t="n"/>
      <c r="BC97" s="67" t="n"/>
      <c r="BD97" s="56" t="n"/>
      <c r="BE97" s="56" t="n"/>
      <c r="BF97" s="67" t="n"/>
      <c r="BG97" s="56" t="n"/>
      <c r="BH97" s="56" t="n"/>
      <c r="BI97" s="67" t="n"/>
      <c r="BJ97" s="67" t="n"/>
      <c r="BK97" s="67" t="n"/>
      <c r="BL97" s="67" t="n"/>
      <c r="BM97" s="67" t="n"/>
      <c r="BN97" s="56" t="n"/>
      <c r="BO97" s="56" t="n"/>
      <c r="BP97" s="67" t="n"/>
      <c r="BQ97" s="56" t="n"/>
      <c r="BR97" s="56" t="n"/>
      <c r="BS97" s="67" t="n"/>
      <c r="BT97" s="56" t="n"/>
      <c r="BU97" s="56" t="n"/>
      <c r="BV97" s="67" t="n"/>
      <c r="BW97" s="56" t="n"/>
      <c r="BX97" s="56" t="n"/>
      <c r="BY97" s="67" t="n"/>
      <c r="BZ97" s="56" t="n"/>
      <c r="CA97" s="56" t="n"/>
      <c r="CB97" s="67" t="n"/>
    </row>
    <row r="98" ht="15" customHeight="1">
      <c r="A98" s="53" t="inlineStr">
        <is>
          <t>Asiento  (Caja Pago Remesas internacionales)</t>
        </is>
      </c>
      <c r="B98" s="56" t="n"/>
      <c r="C98" s="56" t="n"/>
      <c r="D98" s="56" t="n"/>
      <c r="E98" s="56" t="n"/>
      <c r="F98" s="56" t="n"/>
      <c r="G98" s="56" t="n"/>
      <c r="H98" s="56" t="n"/>
      <c r="I98" s="56" t="n"/>
      <c r="J98" s="56" t="n"/>
      <c r="K98" s="56" t="inlineStr">
        <is>
          <t>x</t>
        </is>
      </c>
      <c r="L98" s="56" t="n"/>
      <c r="M98" s="56" t="n"/>
      <c r="N98" s="56" t="n"/>
      <c r="O98" s="56" t="n"/>
      <c r="P98" s="56" t="n"/>
      <c r="Q98" s="56" t="n"/>
      <c r="R98" s="56" t="n"/>
      <c r="S98" s="56" t="n"/>
      <c r="T98" s="56" t="n"/>
      <c r="U98" s="56" t="n"/>
      <c r="V98" s="56" t="n"/>
      <c r="W98" s="56" t="n"/>
      <c r="X98" s="56" t="n"/>
      <c r="Y98" s="56" t="n"/>
      <c r="Z98" s="56" t="n"/>
      <c r="AA98" s="56" t="n"/>
      <c r="AB98" s="56" t="n"/>
      <c r="AC98" s="56" t="n"/>
      <c r="AD98" s="56" t="n"/>
      <c r="AE98" s="56" t="n"/>
      <c r="AF98" s="56" t="n"/>
      <c r="AG98" s="56" t="n"/>
      <c r="AH98" s="56" t="n"/>
      <c r="AI98" s="56" t="n"/>
      <c r="AJ98" s="56" t="n"/>
      <c r="AK98" s="56" t="n"/>
      <c r="AL98" s="56" t="n"/>
      <c r="AM98" s="56" t="n"/>
      <c r="AN98" s="56" t="n"/>
      <c r="AO98" s="56" t="n"/>
      <c r="AP98" s="56" t="n"/>
      <c r="AQ98" s="56" t="n"/>
      <c r="AR98" s="56" t="n"/>
      <c r="AS98" s="67" t="n"/>
      <c r="AT98" s="56" t="n"/>
      <c r="AU98" s="56" t="n"/>
      <c r="AV98" s="56" t="n"/>
      <c r="AW98" s="67" t="n"/>
      <c r="AX98" s="56" t="n"/>
      <c r="AY98" s="56" t="n"/>
      <c r="AZ98" s="67" t="n"/>
      <c r="BA98" s="56" t="n"/>
      <c r="BB98" s="56" t="n"/>
      <c r="BC98" s="67" t="n"/>
      <c r="BD98" s="56" t="n"/>
      <c r="BE98" s="56" t="n"/>
      <c r="BF98" s="67" t="n"/>
      <c r="BG98" s="56" t="n"/>
      <c r="BH98" s="56" t="n"/>
      <c r="BI98" s="67" t="n"/>
      <c r="BJ98" s="67" t="n"/>
      <c r="BK98" s="67" t="n"/>
      <c r="BL98" s="67" t="n"/>
      <c r="BM98" s="67" t="n"/>
      <c r="BN98" s="56" t="n"/>
      <c r="BO98" s="56" t="n"/>
      <c r="BP98" s="67" t="n"/>
      <c r="BQ98" s="56" t="n"/>
      <c r="BR98" s="56" t="n"/>
      <c r="BS98" s="67" t="n"/>
      <c r="BT98" s="56" t="n"/>
      <c r="BU98" s="56" t="n"/>
      <c r="BV98" s="67" t="n"/>
      <c r="BW98" s="56" t="n"/>
      <c r="BX98" s="56" t="n"/>
      <c r="BY98" s="67" t="n"/>
      <c r="BZ98" s="56" t="n"/>
      <c r="CA98" s="56" t="n"/>
      <c r="CB98" s="67" t="n"/>
    </row>
    <row r="99" ht="15" customHeight="1">
      <c r="A99" s="53" t="inlineStr">
        <is>
          <t>Cerrar  (Caja Pago Remesas internacionales)</t>
        </is>
      </c>
      <c r="B99" s="56" t="n"/>
      <c r="C99" s="56" t="n"/>
      <c r="D99" s="56" t="n"/>
      <c r="E99" s="56" t="n"/>
      <c r="F99" s="56" t="n"/>
      <c r="G99" s="56" t="n"/>
      <c r="H99" s="56" t="n"/>
      <c r="I99" s="56" t="n"/>
      <c r="J99" s="56" t="n"/>
      <c r="K99" s="56" t="n"/>
      <c r="L99" s="56" t="inlineStr">
        <is>
          <t>x</t>
        </is>
      </c>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67" t="n"/>
      <c r="AT99" s="56" t="n"/>
      <c r="AU99" s="56" t="n"/>
      <c r="AV99" s="56" t="n"/>
      <c r="AW99" s="67" t="n"/>
      <c r="AX99" s="56" t="n"/>
      <c r="AY99" s="56" t="n"/>
      <c r="AZ99" s="67" t="n"/>
      <c r="BA99" s="56" t="n"/>
      <c r="BB99" s="56" t="n"/>
      <c r="BC99" s="67" t="n"/>
      <c r="BD99" s="56" t="n"/>
      <c r="BE99" s="56" t="n"/>
      <c r="BF99" s="67" t="n"/>
      <c r="BG99" s="56" t="n"/>
      <c r="BH99" s="56" t="n"/>
      <c r="BI99" s="67" t="n"/>
      <c r="BJ99" s="67" t="n"/>
      <c r="BK99" s="67" t="n"/>
      <c r="BL99" s="67" t="n"/>
      <c r="BM99" s="67" t="n"/>
      <c r="BN99" s="56" t="n"/>
      <c r="BO99" s="56" t="n"/>
      <c r="BP99" s="67" t="n"/>
      <c r="BQ99" s="56" t="n"/>
      <c r="BR99" s="56" t="n"/>
      <c r="BS99" s="67" t="n"/>
      <c r="BT99" s="56" t="n"/>
      <c r="BU99" s="56" t="n"/>
      <c r="BV99" s="67" t="n"/>
      <c r="BW99" s="56" t="n"/>
      <c r="BX99" s="56" t="n"/>
      <c r="BY99" s="67" t="n"/>
      <c r="BZ99" s="56" t="n"/>
      <c r="CA99" s="56" t="n"/>
      <c r="CB99" s="67" t="n"/>
    </row>
    <row r="100" ht="15" customHeight="1">
      <c r="A100" s="53" t="inlineStr">
        <is>
          <t>Confirmar  (Caja Pago Remesas internacionales)</t>
        </is>
      </c>
      <c r="B100" s="56" t="inlineStr">
        <is>
          <t>x</t>
        </is>
      </c>
      <c r="C100" s="56" t="inlineStr">
        <is>
          <t>x</t>
        </is>
      </c>
      <c r="D100" s="56" t="n"/>
      <c r="E100" s="56" t="n"/>
      <c r="F100" s="56" t="n"/>
      <c r="G100" s="56" t="inlineStr">
        <is>
          <t>x</t>
        </is>
      </c>
      <c r="H100" s="56" t="inlineStr">
        <is>
          <t>x</t>
        </is>
      </c>
      <c r="I100" s="56" t="inlineStr">
        <is>
          <t>x</t>
        </is>
      </c>
      <c r="J100" s="56" t="inlineStr">
        <is>
          <t>x</t>
        </is>
      </c>
      <c r="K100" s="56" t="inlineStr">
        <is>
          <t>x</t>
        </is>
      </c>
      <c r="L100" s="56" t="inlineStr">
        <is>
          <t>x</t>
        </is>
      </c>
      <c r="M100" s="56" t="n"/>
      <c r="N100" s="56" t="n"/>
      <c r="O100" s="56" t="n"/>
      <c r="P100" s="56" t="n"/>
      <c r="Q100" s="56" t="n"/>
      <c r="R100" s="56" t="n"/>
      <c r="S100" s="56" t="n"/>
      <c r="T100" s="56" t="n"/>
      <c r="U100" s="56" t="n"/>
      <c r="V100" s="56" t="n"/>
      <c r="W100" s="56" t="n"/>
      <c r="X100" s="56" t="n"/>
      <c r="Y100" s="56" t="n"/>
      <c r="Z100" s="56" t="n"/>
      <c r="AA100" s="56" t="n"/>
      <c r="AB100" s="56" t="n"/>
      <c r="AC100" s="56" t="n"/>
      <c r="AD100" s="56" t="n"/>
      <c r="AE100" s="56" t="n"/>
      <c r="AF100" s="56" t="n"/>
      <c r="AG100" s="56" t="n"/>
      <c r="AH100" s="56" t="n"/>
      <c r="AI100" s="56" t="n"/>
      <c r="AJ100" s="56" t="n"/>
      <c r="AK100" s="56" t="n"/>
      <c r="AL100" s="56" t="n"/>
      <c r="AM100" s="56" t="n"/>
      <c r="AN100" s="56" t="n"/>
      <c r="AO100" s="56" t="n"/>
      <c r="AP100" s="56" t="n"/>
      <c r="AQ100" s="56" t="n"/>
      <c r="AR100" s="56" t="n"/>
      <c r="AS100" s="67" t="n"/>
      <c r="AT100" s="56" t="n"/>
      <c r="AU100" s="56" t="n"/>
      <c r="AV100" s="56" t="n"/>
      <c r="AW100" s="67" t="n"/>
      <c r="AX100" s="56" t="n"/>
      <c r="AY100" s="56" t="n"/>
      <c r="AZ100" s="67" t="n"/>
      <c r="BA100" s="56" t="n"/>
      <c r="BB100" s="56" t="n"/>
      <c r="BC100" s="67" t="n"/>
      <c r="BD100" s="56" t="n"/>
      <c r="BE100" s="56" t="n"/>
      <c r="BF100" s="67" t="n"/>
      <c r="BG100" s="56" t="n"/>
      <c r="BH100" s="56" t="n"/>
      <c r="BI100" s="67" t="n"/>
      <c r="BJ100" s="67" t="n"/>
      <c r="BK100" s="67" t="n"/>
      <c r="BL100" s="67" t="n"/>
      <c r="BM100" s="67" t="n"/>
      <c r="BN100" s="56" t="n"/>
      <c r="BO100" s="56" t="n"/>
      <c r="BP100" s="67" t="n"/>
      <c r="BQ100" s="56" t="n"/>
      <c r="BR100" s="56" t="n"/>
      <c r="BS100" s="67" t="n"/>
      <c r="BT100" s="56" t="n"/>
      <c r="BU100" s="56" t="n"/>
      <c r="BV100" s="67" t="n"/>
      <c r="BW100" s="56" t="n"/>
      <c r="BX100" s="56" t="n"/>
      <c r="BY100" s="67" t="n"/>
      <c r="BZ100" s="56" t="n"/>
      <c r="CA100" s="56" t="n"/>
      <c r="CB100" s="67" t="n"/>
    </row>
    <row r="101" ht="15" customHeight="1">
      <c r="A101" s="53" t="inlineStr">
        <is>
          <t>Consulta (Selección Titular/Beneficiario)</t>
        </is>
      </c>
      <c r="B101" s="56" t="n"/>
      <c r="C101" s="56" t="inlineStr">
        <is>
          <t>x</t>
        </is>
      </c>
      <c r="D101" s="56" t="n"/>
      <c r="E101" s="56" t="n"/>
      <c r="F101" s="56" t="n"/>
      <c r="G101" s="56" t="n"/>
      <c r="H101" s="56" t="inlineStr">
        <is>
          <t>x</t>
        </is>
      </c>
      <c r="I101" s="56" t="n"/>
      <c r="J101" s="56" t="inlineStr">
        <is>
          <t>x</t>
        </is>
      </c>
      <c r="K101" s="56" t="n"/>
      <c r="L101" s="56" t="inlineStr">
        <is>
          <t>x</t>
        </is>
      </c>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67" t="n"/>
      <c r="AT101" s="56" t="n"/>
      <c r="AU101" s="56" t="n"/>
      <c r="AV101" s="56" t="n"/>
      <c r="AW101" s="67" t="n"/>
      <c r="AX101" s="56" t="n"/>
      <c r="AY101" s="56" t="n"/>
      <c r="AZ101" s="67" t="n"/>
      <c r="BA101" s="56" t="n"/>
      <c r="BB101" s="56" t="n"/>
      <c r="BC101" s="67" t="n"/>
      <c r="BD101" s="56" t="n"/>
      <c r="BE101" s="56" t="n"/>
      <c r="BF101" s="67" t="n"/>
      <c r="BG101" s="56" t="n"/>
      <c r="BH101" s="56" t="n"/>
      <c r="BI101" s="67" t="n"/>
      <c r="BJ101" s="67" t="n"/>
      <c r="BK101" s="67" t="n"/>
      <c r="BL101" s="67" t="n"/>
      <c r="BM101" s="67" t="n"/>
      <c r="BN101" s="56" t="n"/>
      <c r="BO101" s="56" t="n"/>
      <c r="BP101" s="67" t="n"/>
      <c r="BQ101" s="56" t="n"/>
      <c r="BR101" s="56" t="n"/>
      <c r="BS101" s="67" t="n"/>
      <c r="BT101" s="56" t="n"/>
      <c r="BU101" s="56" t="n"/>
      <c r="BV101" s="67" t="n"/>
      <c r="BW101" s="56" t="n"/>
      <c r="BX101" s="56" t="n"/>
      <c r="BY101" s="67" t="n"/>
      <c r="BZ101" s="56" t="n"/>
      <c r="CA101" s="56" t="n"/>
      <c r="CB101" s="67" t="n"/>
    </row>
    <row r="102" ht="15" customHeight="1">
      <c r="A102" s="53" t="inlineStr">
        <is>
          <t>Validar (Selección Titular/Beneficiario)</t>
        </is>
      </c>
      <c r="B102" s="56" t="n"/>
      <c r="C102" s="56" t="inlineStr">
        <is>
          <t>x</t>
        </is>
      </c>
      <c r="D102" s="56" t="n"/>
      <c r="E102" s="56" t="n"/>
      <c r="F102" s="56" t="n"/>
      <c r="G102" s="56" t="n"/>
      <c r="H102" s="56" t="inlineStr">
        <is>
          <t>x</t>
        </is>
      </c>
      <c r="I102" s="56" t="n"/>
      <c r="J102" s="56" t="inlineStr">
        <is>
          <t>x</t>
        </is>
      </c>
      <c r="K102" s="56" t="n"/>
      <c r="L102" s="56" t="inlineStr">
        <is>
          <t>x</t>
        </is>
      </c>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c r="AJ102" s="56" t="n"/>
      <c r="AK102" s="56" t="n"/>
      <c r="AL102" s="56" t="n"/>
      <c r="AM102" s="56" t="n"/>
      <c r="AN102" s="56" t="n"/>
      <c r="AO102" s="56" t="n"/>
      <c r="AP102" s="56" t="n"/>
      <c r="AQ102" s="56" t="n"/>
      <c r="AR102" s="56" t="n"/>
      <c r="AS102" s="67" t="n"/>
      <c r="AT102" s="56" t="n"/>
      <c r="AU102" s="56" t="n"/>
      <c r="AV102" s="56" t="n"/>
      <c r="AW102" s="67" t="n"/>
      <c r="AX102" s="56" t="n"/>
      <c r="AY102" s="56" t="n"/>
      <c r="AZ102" s="67" t="n"/>
      <c r="BA102" s="56" t="n"/>
      <c r="BB102" s="56" t="n"/>
      <c r="BC102" s="67" t="n"/>
      <c r="BD102" s="56" t="n"/>
      <c r="BE102" s="56" t="n"/>
      <c r="BF102" s="67" t="n"/>
      <c r="BG102" s="56" t="n"/>
      <c r="BH102" s="56" t="n"/>
      <c r="BI102" s="67" t="n"/>
      <c r="BJ102" s="67" t="n"/>
      <c r="BK102" s="67" t="n"/>
      <c r="BL102" s="67" t="n"/>
      <c r="BM102" s="67" t="n"/>
      <c r="BN102" s="56" t="n"/>
      <c r="BO102" s="56" t="n"/>
      <c r="BP102" s="67" t="n"/>
      <c r="BQ102" s="56" t="n"/>
      <c r="BR102" s="56" t="n"/>
      <c r="BS102" s="67" t="n"/>
      <c r="BT102" s="56" t="n"/>
      <c r="BU102" s="56" t="n"/>
      <c r="BV102" s="67" t="n"/>
      <c r="BW102" s="56" t="n"/>
      <c r="BX102" s="56" t="n"/>
      <c r="BY102" s="67" t="n"/>
      <c r="BZ102" s="56" t="n"/>
      <c r="CA102" s="56" t="n"/>
      <c r="CB102" s="67" t="n"/>
    </row>
    <row r="103" ht="15.75" customHeight="1">
      <c r="A103" s="53" t="inlineStr">
        <is>
          <t>Aceptar (Selección Titular/Beneficiario)</t>
        </is>
      </c>
      <c r="B103" s="56" t="n"/>
      <c r="C103" s="56" t="inlineStr">
        <is>
          <t>x</t>
        </is>
      </c>
      <c r="D103" s="56" t="n"/>
      <c r="E103" s="56" t="n"/>
      <c r="F103" s="56" t="n"/>
      <c r="G103" s="56" t="n"/>
      <c r="H103" s="56" t="inlineStr">
        <is>
          <t>x</t>
        </is>
      </c>
      <c r="I103" s="56" t="n"/>
      <c r="J103" s="56" t="inlineStr">
        <is>
          <t>x</t>
        </is>
      </c>
      <c r="K103" s="56" t="n"/>
      <c r="L103" s="56" t="inlineStr">
        <is>
          <t>x</t>
        </is>
      </c>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67" t="n"/>
      <c r="AT103" s="56" t="n"/>
      <c r="AU103" s="56" t="n"/>
      <c r="AV103" s="56" t="n"/>
      <c r="AW103" s="67" t="n"/>
      <c r="AX103" s="56" t="n"/>
      <c r="AY103" s="56" t="n"/>
      <c r="AZ103" s="67" t="n"/>
      <c r="BA103" s="56" t="n"/>
      <c r="BB103" s="56" t="n"/>
      <c r="BC103" s="67" t="n"/>
      <c r="BD103" s="56" t="n"/>
      <c r="BE103" s="56" t="n"/>
      <c r="BF103" s="67" t="n"/>
      <c r="BG103" s="56" t="n"/>
      <c r="BH103" s="56" t="n"/>
      <c r="BI103" s="67" t="n"/>
      <c r="BJ103" s="67" t="n"/>
      <c r="BK103" s="67" t="n"/>
      <c r="BL103" s="67" t="n"/>
      <c r="BM103" s="67" t="n"/>
      <c r="BN103" s="56" t="n"/>
      <c r="BO103" s="56" t="n"/>
      <c r="BP103" s="67" t="n"/>
      <c r="BQ103" s="56" t="n"/>
      <c r="BR103" s="56" t="n"/>
      <c r="BS103" s="67" t="n"/>
      <c r="BT103" s="56" t="n"/>
      <c r="BU103" s="56" t="n"/>
      <c r="BV103" s="67" t="n"/>
      <c r="BW103" s="56" t="n"/>
      <c r="BX103" s="56" t="n"/>
      <c r="BY103" s="67" t="n"/>
      <c r="BZ103" s="56" t="n"/>
      <c r="CA103" s="56" t="n"/>
      <c r="CB103" s="67" t="n"/>
    </row>
    <row r="104" ht="15.75" customHeight="1">
      <c r="A104" s="53" t="inlineStr">
        <is>
          <t>Reprocesar (Cheque - Bancos Nacionales	)</t>
        </is>
      </c>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c r="AA104" s="56" t="n"/>
      <c r="AB104" s="56" t="n"/>
      <c r="AC104" s="56" t="n"/>
      <c r="AD104" s="56" t="n"/>
      <c r="AE104" s="56" t="n"/>
      <c r="AF104" s="56" t="n"/>
      <c r="AG104" s="56" t="n"/>
      <c r="AH104" s="56" t="n"/>
      <c r="AI104" s="56" t="n"/>
      <c r="AJ104" s="56" t="n"/>
      <c r="AK104" s="56" t="n"/>
      <c r="AL104" s="56" t="n"/>
      <c r="AM104" s="56" t="n"/>
      <c r="AN104" s="56" t="n"/>
      <c r="AO104" s="56" t="n"/>
      <c r="AP104" s="56" t="n"/>
      <c r="AQ104" s="56" t="n"/>
      <c r="AR104" s="56" t="n"/>
      <c r="AS104" s="67" t="n"/>
      <c r="AT104" s="56" t="n"/>
      <c r="AU104" s="56" t="n"/>
      <c r="AV104" s="56" t="n"/>
      <c r="AW104" s="67" t="n"/>
      <c r="AX104" s="56" t="n"/>
      <c r="AY104" s="56" t="n"/>
      <c r="AZ104" s="67" t="n"/>
      <c r="BA104" s="56" t="n"/>
      <c r="BB104" s="56" t="n"/>
      <c r="BC104" s="67" t="n"/>
      <c r="BD104" s="56" t="n"/>
      <c r="BE104" s="56" t="n"/>
      <c r="BF104" s="67" t="n"/>
      <c r="BG104" s="56" t="n"/>
      <c r="BH104" s="56" t="n"/>
      <c r="BI104" s="67" t="n"/>
      <c r="BJ104" s="67" t="n"/>
      <c r="BK104" s="67" t="n"/>
      <c r="BL104" s="67" t="n"/>
      <c r="BM104" s="67" t="n"/>
      <c r="BN104" s="56" t="n"/>
      <c r="BO104" s="56" t="n"/>
      <c r="BP104" s="67" t="n"/>
      <c r="BQ104" s="56" t="n"/>
      <c r="BR104" s="56" t="n"/>
      <c r="BS104" s="67" t="n"/>
      <c r="BT104" s="56" t="n"/>
      <c r="BU104" s="56" t="n"/>
      <c r="BV104" s="67" t="n"/>
      <c r="BW104" s="56" t="n"/>
      <c r="BX104" s="56" t="n"/>
      <c r="BY104" s="67" t="n"/>
      <c r="BZ104" s="56" t="n"/>
      <c r="CA104" s="56" t="n"/>
      <c r="CB104" s="67" t="n"/>
    </row>
    <row r="105" ht="15.75" customHeight="1">
      <c r="A105" s="53" t="inlineStr">
        <is>
          <t>Asiento  (Cheque - Bancos Nacionales	)</t>
        </is>
      </c>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67" t="n"/>
      <c r="AT105" s="56" t="n"/>
      <c r="AU105" s="56" t="n"/>
      <c r="AV105" s="56" t="n"/>
      <c r="AW105" s="67" t="n"/>
      <c r="AX105" s="56" t="n"/>
      <c r="AY105" s="56" t="n"/>
      <c r="AZ105" s="67" t="n"/>
      <c r="BA105" s="56" t="n"/>
      <c r="BB105" s="56" t="n"/>
      <c r="BC105" s="67" t="n"/>
      <c r="BD105" s="56" t="n"/>
      <c r="BE105" s="56" t="n"/>
      <c r="BF105" s="67" t="n"/>
      <c r="BG105" s="56" t="n"/>
      <c r="BH105" s="56" t="n"/>
      <c r="BI105" s="67" t="n"/>
      <c r="BJ105" s="67" t="n"/>
      <c r="BK105" s="67" t="n"/>
      <c r="BL105" s="67" t="n"/>
      <c r="BM105" s="67" t="n"/>
      <c r="BN105" s="56" t="n"/>
      <c r="BO105" s="56" t="n"/>
      <c r="BP105" s="67" t="n"/>
      <c r="BQ105" s="56" t="n"/>
      <c r="BR105" s="56" t="n"/>
      <c r="BS105" s="67" t="n"/>
      <c r="BT105" s="56" t="n"/>
      <c r="BU105" s="56" t="n"/>
      <c r="BV105" s="67" t="n"/>
      <c r="BW105" s="56" t="n"/>
      <c r="BX105" s="56" t="n"/>
      <c r="BY105" s="67" t="n"/>
      <c r="BZ105" s="56" t="n"/>
      <c r="CA105" s="56" t="n"/>
      <c r="CB105" s="67" t="n"/>
    </row>
    <row r="106" ht="15.75" customHeight="1">
      <c r="A106" s="53" t="inlineStr">
        <is>
          <t>Cerrar  (Cheque - Bancos Nacionales	)</t>
        </is>
      </c>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c r="AA106" s="56" t="n"/>
      <c r="AB106" s="56" t="n"/>
      <c r="AC106" s="56" t="n"/>
      <c r="AD106" s="56" t="n"/>
      <c r="AE106" s="56" t="n"/>
      <c r="AF106" s="56" t="n"/>
      <c r="AG106" s="56" t="n"/>
      <c r="AH106" s="56" t="n"/>
      <c r="AI106" s="56" t="n"/>
      <c r="AJ106" s="56" t="n"/>
      <c r="AK106" s="56" t="n"/>
      <c r="AL106" s="56" t="n"/>
      <c r="AM106" s="56" t="n"/>
      <c r="AN106" s="56" t="n"/>
      <c r="AO106" s="56" t="n"/>
      <c r="AP106" s="56" t="n"/>
      <c r="AQ106" s="56" t="n"/>
      <c r="AR106" s="56" t="n"/>
      <c r="AS106" s="67" t="n"/>
      <c r="AT106" s="56" t="n"/>
      <c r="AU106" s="56" t="n"/>
      <c r="AV106" s="56" t="n"/>
      <c r="AW106" s="67" t="n"/>
      <c r="AX106" s="56" t="n"/>
      <c r="AY106" s="56" t="n"/>
      <c r="AZ106" s="67" t="n"/>
      <c r="BA106" s="56" t="n"/>
      <c r="BB106" s="56" t="n"/>
      <c r="BC106" s="67" t="n"/>
      <c r="BD106" s="56" t="n"/>
      <c r="BE106" s="56" t="n"/>
      <c r="BF106" s="67" t="n"/>
      <c r="BG106" s="56" t="n"/>
      <c r="BH106" s="56" t="n"/>
      <c r="BI106" s="67" t="n"/>
      <c r="BJ106" s="67" t="n"/>
      <c r="BK106" s="67" t="n"/>
      <c r="BL106" s="67" t="n"/>
      <c r="BM106" s="67" t="n"/>
      <c r="BN106" s="56" t="n"/>
      <c r="BO106" s="56" t="n"/>
      <c r="BP106" s="67" t="n"/>
      <c r="BQ106" s="56" t="n"/>
      <c r="BR106" s="56" t="n"/>
      <c r="BS106" s="67" t="n"/>
      <c r="BT106" s="56" t="n"/>
      <c r="BU106" s="56" t="n"/>
      <c r="BV106" s="67" t="n"/>
      <c r="BW106" s="56" t="n"/>
      <c r="BX106" s="56" t="n"/>
      <c r="BY106" s="67" t="n"/>
      <c r="BZ106" s="56" t="n"/>
      <c r="CA106" s="56" t="n"/>
      <c r="CB106" s="67" t="n"/>
    </row>
    <row r="107" ht="15.75" customHeight="1">
      <c r="A107" s="53" t="inlineStr">
        <is>
          <t>Confirmar  (Cheque - Bancos Nacionales	)</t>
        </is>
      </c>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67" t="n"/>
      <c r="AT107" s="56" t="n"/>
      <c r="AU107" s="56" t="n"/>
      <c r="AV107" s="56" t="n"/>
      <c r="AW107" s="67" t="n"/>
      <c r="AX107" s="56" t="n"/>
      <c r="AY107" s="56" t="n"/>
      <c r="AZ107" s="67" t="n"/>
      <c r="BA107" s="56" t="n"/>
      <c r="BB107" s="56" t="n"/>
      <c r="BC107" s="67" t="n"/>
      <c r="BD107" s="56" t="n"/>
      <c r="BE107" s="56" t="n"/>
      <c r="BF107" s="67" t="n"/>
      <c r="BG107" s="56" t="n"/>
      <c r="BH107" s="56" t="n"/>
      <c r="BI107" s="67" t="n"/>
      <c r="BJ107" s="67" t="n"/>
      <c r="BK107" s="67" t="n"/>
      <c r="BL107" s="67" t="n"/>
      <c r="BM107" s="67" t="n"/>
      <c r="BN107" s="56" t="n"/>
      <c r="BO107" s="56" t="n"/>
      <c r="BP107" s="67" t="n"/>
      <c r="BQ107" s="56" t="n"/>
      <c r="BR107" s="56" t="n"/>
      <c r="BS107" s="67" t="n"/>
      <c r="BT107" s="56" t="n"/>
      <c r="BU107" s="56" t="n"/>
      <c r="BV107" s="67" t="n"/>
      <c r="BW107" s="56" t="n"/>
      <c r="BX107" s="56" t="n"/>
      <c r="BY107" s="67" t="n"/>
      <c r="BZ107" s="56" t="n"/>
      <c r="CA107" s="56" t="n"/>
      <c r="CB107" s="67" t="n"/>
    </row>
    <row r="108" ht="15.75" customHeight="1">
      <c r="A108" s="53" t="inlineStr">
        <is>
          <t>Continuar  (Cheque - Bancos Nacionales	)</t>
        </is>
      </c>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c r="AA108" s="56" t="n"/>
      <c r="AB108" s="56" t="n"/>
      <c r="AC108" s="56" t="n"/>
      <c r="AD108" s="56" t="n"/>
      <c r="AE108" s="56" t="n"/>
      <c r="AF108" s="56" t="n"/>
      <c r="AG108" s="56" t="n"/>
      <c r="AH108" s="56" t="n"/>
      <c r="AI108" s="56" t="n"/>
      <c r="AJ108" s="56" t="n"/>
      <c r="AK108" s="56" t="n"/>
      <c r="AL108" s="56" t="n"/>
      <c r="AM108" s="56" t="n"/>
      <c r="AN108" s="56" t="n"/>
      <c r="AO108" s="56" t="n"/>
      <c r="AP108" s="56" t="n"/>
      <c r="AQ108" s="56" t="n"/>
      <c r="AR108" s="56" t="n"/>
      <c r="AS108" s="67" t="n"/>
      <c r="AT108" s="56" t="n"/>
      <c r="AU108" s="56" t="n"/>
      <c r="AV108" s="56" t="n"/>
      <c r="AW108" s="67" t="n"/>
      <c r="AX108" s="56" t="n"/>
      <c r="AY108" s="56" t="n"/>
      <c r="AZ108" s="67" t="n"/>
      <c r="BA108" s="56" t="n"/>
      <c r="BB108" s="56" t="n"/>
      <c r="BC108" s="67" t="n"/>
      <c r="BD108" s="56" t="n"/>
      <c r="BE108" s="56" t="n"/>
      <c r="BF108" s="67" t="n"/>
      <c r="BG108" s="56" t="n"/>
      <c r="BH108" s="56" t="n"/>
      <c r="BI108" s="67" t="n"/>
      <c r="BJ108" s="67" t="n"/>
      <c r="BK108" s="67" t="n"/>
      <c r="BL108" s="67" t="n"/>
      <c r="BM108" s="67" t="n"/>
      <c r="BN108" s="56" t="n"/>
      <c r="BO108" s="56" t="n"/>
      <c r="BP108" s="67" t="n"/>
      <c r="BQ108" s="56" t="n"/>
      <c r="BR108" s="56" t="n"/>
      <c r="BS108" s="67" t="n"/>
      <c r="BT108" s="56" t="n"/>
      <c r="BU108" s="56" t="n"/>
      <c r="BV108" s="67" t="n"/>
      <c r="BW108" s="56" t="n"/>
      <c r="BX108" s="56" t="n"/>
      <c r="BY108" s="67" t="n"/>
      <c r="BZ108" s="56" t="n"/>
      <c r="CA108" s="56" t="n"/>
      <c r="CB108" s="67" t="n"/>
    </row>
    <row r="109" ht="15" customHeight="1">
      <c r="A109" s="53" t="inlineStr">
        <is>
          <t>Ejecutar la transacción de pago de remesas</t>
        </is>
      </c>
      <c r="B109" s="56" t="inlineStr">
        <is>
          <t>x</t>
        </is>
      </c>
      <c r="C109" s="56" t="inlineStr">
        <is>
          <t>x</t>
        </is>
      </c>
      <c r="D109" s="56" t="n"/>
      <c r="E109" s="56" t="n"/>
      <c r="F109" s="56" t="n"/>
      <c r="G109" s="56" t="inlineStr">
        <is>
          <t>x</t>
        </is>
      </c>
      <c r="H109" s="56" t="inlineStr">
        <is>
          <t>x</t>
        </is>
      </c>
      <c r="I109" s="56" t="inlineStr">
        <is>
          <t>x</t>
        </is>
      </c>
      <c r="J109" s="56" t="inlineStr">
        <is>
          <t>x</t>
        </is>
      </c>
      <c r="K109" s="56" t="inlineStr">
        <is>
          <t>x</t>
        </is>
      </c>
      <c r="L109" s="56" t="inlineStr">
        <is>
          <t>x</t>
        </is>
      </c>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8" t="n"/>
      <c r="AS109" s="59" t="n"/>
      <c r="AT109" s="58" t="n"/>
      <c r="AU109" s="58" t="n"/>
      <c r="AV109" s="58" t="n"/>
      <c r="AW109" s="59" t="n"/>
      <c r="AX109" s="58" t="n"/>
      <c r="AY109" s="58" t="n"/>
      <c r="AZ109" s="59" t="n"/>
      <c r="BA109" s="58" t="n"/>
      <c r="BB109" s="58" t="n"/>
      <c r="BC109" s="59" t="n"/>
      <c r="BD109" s="58" t="n"/>
      <c r="BE109" s="58" t="n"/>
      <c r="BF109" s="59" t="n"/>
      <c r="BG109" s="58" t="n"/>
      <c r="BH109" s="58" t="n"/>
      <c r="BI109" s="59" t="n"/>
      <c r="BJ109" s="59" t="n"/>
      <c r="BK109" s="59" t="n"/>
      <c r="BL109" s="59" t="n"/>
      <c r="BM109" s="59" t="n"/>
      <c r="BN109" s="58" t="n"/>
      <c r="BO109" s="58" t="n"/>
      <c r="BP109" s="59" t="n"/>
      <c r="BQ109" s="58" t="n"/>
      <c r="BR109" s="58" t="n"/>
      <c r="BS109" s="59" t="n"/>
      <c r="BT109" s="58" t="n"/>
      <c r="BU109" s="58" t="n"/>
      <c r="BV109" s="59" t="n"/>
      <c r="BW109" s="58" t="n"/>
      <c r="BX109" s="58" t="n"/>
      <c r="BY109" s="59" t="n"/>
      <c r="BZ109" s="58" t="n"/>
      <c r="CA109" s="58" t="n"/>
      <c r="CB109" s="59" t="n"/>
    </row>
    <row r="110" ht="15" customHeight="1">
      <c r="A110" s="54" t="inlineStr">
        <is>
          <t>Resultados</t>
        </is>
      </c>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c r="AC110" s="57" t="n"/>
      <c r="AD110" s="57" t="n"/>
      <c r="AE110" s="57" t="n"/>
      <c r="AF110" s="57" t="n"/>
      <c r="AG110" s="57" t="n"/>
      <c r="AH110" s="57" t="n"/>
      <c r="AI110" s="57" t="n"/>
      <c r="AJ110" s="57" t="n"/>
      <c r="AK110" s="57" t="n"/>
      <c r="AL110" s="57" t="n"/>
      <c r="AM110" s="57" t="n"/>
      <c r="AN110" s="57" t="n"/>
      <c r="AO110" s="57" t="n"/>
      <c r="AP110" s="57" t="n"/>
      <c r="AQ110" s="57" t="n"/>
      <c r="AR110" s="57" t="n"/>
      <c r="AS110" s="57" t="n"/>
      <c r="AT110" s="57" t="n"/>
      <c r="AU110" s="57" t="n"/>
      <c r="AV110" s="57" t="n"/>
      <c r="AW110" s="57" t="n"/>
      <c r="AX110" s="57" t="n"/>
      <c r="AY110" s="57" t="n"/>
      <c r="AZ110" s="57" t="n"/>
      <c r="BA110" s="57" t="n"/>
      <c r="BB110" s="57" t="n"/>
      <c r="BC110" s="57" t="n"/>
      <c r="BD110" s="57" t="n"/>
      <c r="BE110" s="57" t="n"/>
      <c r="BF110" s="57" t="n"/>
      <c r="BG110" s="57" t="n"/>
      <c r="BH110" s="57" t="n"/>
      <c r="BI110" s="57" t="n"/>
      <c r="BJ110" s="57" t="n"/>
      <c r="BK110" s="57" t="n"/>
      <c r="BL110" s="57" t="n"/>
      <c r="BM110" s="57" t="n"/>
      <c r="BN110" s="57" t="n"/>
      <c r="BO110" s="57" t="n"/>
      <c r="BP110" s="57" t="n"/>
      <c r="BQ110" s="57" t="n"/>
      <c r="BR110" s="57" t="n"/>
      <c r="BS110" s="57" t="n"/>
      <c r="BT110" s="57" t="n"/>
      <c r="BU110" s="57" t="n"/>
      <c r="BV110" s="57" t="n"/>
      <c r="BW110" s="57" t="n"/>
      <c r="BX110" s="57" t="n"/>
      <c r="BY110" s="57" t="n"/>
      <c r="BZ110" s="57" t="n"/>
      <c r="CA110" s="57" t="n"/>
      <c r="CB110" s="57" t="n"/>
      <c r="EU110" s="30" t="n"/>
      <c r="EV110" s="30" t="n"/>
      <c r="EW110" s="30" t="n"/>
    </row>
    <row r="111" ht="15" customHeight="1">
      <c r="A111" s="55" t="inlineStr">
        <is>
          <t>El sistema muestra los nombres y apellidos del cliente</t>
        </is>
      </c>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c r="AO111" s="65" t="n"/>
      <c r="AP111" s="65" t="n"/>
      <c r="AQ111" s="65" t="n"/>
      <c r="AR111" s="59" t="inlineStr">
        <is>
          <t>x</t>
        </is>
      </c>
      <c r="AS111" s="58" t="n"/>
      <c r="AT111" s="59" t="inlineStr">
        <is>
          <t>x</t>
        </is>
      </c>
      <c r="AU111" s="59" t="n"/>
      <c r="AV111" s="58" t="n"/>
      <c r="AW111" s="59" t="inlineStr">
        <is>
          <t>x</t>
        </is>
      </c>
      <c r="AX111" s="58" t="n"/>
      <c r="AY111" s="59" t="n"/>
      <c r="AZ111" s="58" t="n"/>
      <c r="BA111" s="59" t="inlineStr">
        <is>
          <t>x</t>
        </is>
      </c>
      <c r="BB111" s="58" t="n"/>
      <c r="BC111" s="59" t="n"/>
      <c r="BD111" s="58" t="n"/>
      <c r="BE111" s="59" t="n"/>
      <c r="BF111" s="58" t="n"/>
      <c r="BG111" s="59" t="n"/>
      <c r="BH111" s="58" t="n"/>
      <c r="BI111" s="59" t="n"/>
      <c r="BJ111" s="59" t="n"/>
      <c r="BK111" s="59" t="n"/>
      <c r="BL111" s="59" t="n"/>
      <c r="BM111" s="59" t="inlineStr">
        <is>
          <t>x</t>
        </is>
      </c>
      <c r="BN111" s="58" t="n"/>
      <c r="BO111" s="59" t="n"/>
      <c r="BP111" s="58" t="n"/>
      <c r="BQ111" s="59" t="inlineStr">
        <is>
          <t>x</t>
        </is>
      </c>
      <c r="BR111" s="58" t="n"/>
      <c r="BS111" s="59" t="n"/>
      <c r="BT111" s="58" t="n"/>
      <c r="BU111" s="59" t="inlineStr">
        <is>
          <t>x</t>
        </is>
      </c>
      <c r="BV111" s="58" t="n"/>
      <c r="BW111" s="59" t="n"/>
      <c r="BX111" s="58" t="n"/>
      <c r="BY111" s="59" t="n"/>
      <c r="BZ111" s="58" t="n"/>
      <c r="CA111" s="59" t="n"/>
      <c r="CB111" s="58" t="n"/>
      <c r="EU111" s="30" t="n"/>
      <c r="EV111" s="30" t="n"/>
      <c r="EW111" s="30" t="n"/>
    </row>
    <row r="112" ht="15" customHeight="1">
      <c r="A112" s="55" t="inlineStr">
        <is>
          <t>El sistema muestra de manera informativa las cuentas de ahorros vigentes en pantalla</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c r="AO112" s="65" t="n"/>
      <c r="AP112" s="65" t="n"/>
      <c r="AQ112" s="65" t="n"/>
      <c r="AR112" s="59" t="inlineStr">
        <is>
          <t>x</t>
        </is>
      </c>
      <c r="AS112" s="59" t="n"/>
      <c r="AT112" s="59" t="inlineStr">
        <is>
          <t>x</t>
        </is>
      </c>
      <c r="AU112" s="59" t="n"/>
      <c r="AV112" s="59" t="n"/>
      <c r="AW112" s="59" t="inlineStr">
        <is>
          <t>x</t>
        </is>
      </c>
      <c r="AX112" s="59" t="n"/>
      <c r="AY112" s="59" t="n"/>
      <c r="AZ112" s="59" t="n"/>
      <c r="BA112" s="59" t="inlineStr">
        <is>
          <t>x</t>
        </is>
      </c>
      <c r="BB112" s="59" t="n"/>
      <c r="BC112" s="59" t="n"/>
      <c r="BD112" s="59" t="n"/>
      <c r="BE112" s="59" t="n"/>
      <c r="BF112" s="59" t="n"/>
      <c r="BG112" s="59" t="n"/>
      <c r="BH112" s="59" t="n"/>
      <c r="BI112" s="59" t="n"/>
      <c r="BJ112" s="59" t="n"/>
      <c r="BK112" s="59" t="n"/>
      <c r="BL112" s="59" t="n"/>
      <c r="BM112" s="59" t="inlineStr">
        <is>
          <t>x</t>
        </is>
      </c>
      <c r="BN112" s="59" t="n"/>
      <c r="BO112" s="59" t="n"/>
      <c r="BP112" s="59" t="n"/>
      <c r="BQ112" s="59" t="inlineStr">
        <is>
          <t>x</t>
        </is>
      </c>
      <c r="BR112" s="59" t="n"/>
      <c r="BS112" s="59" t="n"/>
      <c r="BT112" s="59" t="n"/>
      <c r="BU112" s="59" t="inlineStr">
        <is>
          <t>x</t>
        </is>
      </c>
      <c r="BV112" s="59" t="n"/>
      <c r="BW112" s="59" t="n"/>
      <c r="BX112" s="59" t="n"/>
      <c r="BY112" s="59" t="n"/>
      <c r="BZ112" s="59" t="n"/>
      <c r="CA112" s="59" t="n"/>
      <c r="CB112" s="59" t="n"/>
      <c r="EU112" s="30" t="n"/>
      <c r="EV112" s="30" t="n"/>
      <c r="EW112" s="30" t="n"/>
    </row>
    <row r="113" ht="15" customHeight="1">
      <c r="A113" s="63" t="inlineStr">
        <is>
          <t>El sistema no muestra los nombres y apellidos del cliente</t>
        </is>
      </c>
      <c r="B113" s="66" t="n"/>
      <c r="C113" s="66" t="n"/>
      <c r="D113" s="66" t="n"/>
      <c r="E113" s="66" t="n"/>
      <c r="F113" s="66" t="n"/>
      <c r="G113" s="66" t="n"/>
      <c r="H113" s="66" t="n"/>
      <c r="I113" s="66" t="n"/>
      <c r="J113" s="66" t="n"/>
      <c r="K113" s="66" t="n"/>
      <c r="L113" s="66" t="n"/>
      <c r="M113" s="66" t="n"/>
      <c r="N113" s="66" t="n"/>
      <c r="O113" s="66" t="n"/>
      <c r="P113" s="66" t="n"/>
      <c r="Q113" s="66" t="n"/>
      <c r="R113" s="66" t="n"/>
      <c r="S113" s="66" t="n"/>
      <c r="T113" s="66" t="n"/>
      <c r="U113" s="66" t="n"/>
      <c r="V113" s="66" t="n"/>
      <c r="W113" s="66" t="n"/>
      <c r="X113" s="66" t="n"/>
      <c r="Y113" s="66" t="n"/>
      <c r="Z113" s="66" t="n"/>
      <c r="AA113" s="66" t="n"/>
      <c r="AB113" s="66" t="n"/>
      <c r="AC113" s="66" t="n"/>
      <c r="AD113" s="66" t="n"/>
      <c r="AE113" s="66" t="n"/>
      <c r="AF113" s="66" t="n"/>
      <c r="AG113" s="66" t="n"/>
      <c r="AH113" s="66" t="n"/>
      <c r="AI113" s="66" t="n"/>
      <c r="AJ113" s="66" t="n"/>
      <c r="AK113" s="66" t="n"/>
      <c r="AL113" s="66" t="n"/>
      <c r="AM113" s="66" t="n"/>
      <c r="AN113" s="66" t="n"/>
      <c r="AO113" s="66" t="n"/>
      <c r="AP113" s="66" t="n"/>
      <c r="AQ113" s="66" t="n"/>
      <c r="AR113" s="59" t="n"/>
      <c r="AS113" s="59" t="inlineStr">
        <is>
          <t>x</t>
        </is>
      </c>
      <c r="AT113" s="59" t="n"/>
      <c r="AU113" s="59" t="n"/>
      <c r="AV113" s="59" t="n"/>
      <c r="AW113" s="59" t="n"/>
      <c r="AX113" s="59" t="inlineStr">
        <is>
          <t>x</t>
        </is>
      </c>
      <c r="AY113" s="59" t="inlineStr">
        <is>
          <t>x</t>
        </is>
      </c>
      <c r="AZ113" s="59" t="n"/>
      <c r="BA113" s="59" t="n"/>
      <c r="BB113" s="59" t="inlineStr">
        <is>
          <t>x</t>
        </is>
      </c>
      <c r="BC113" s="59" t="inlineStr">
        <is>
          <t>x</t>
        </is>
      </c>
      <c r="BD113" s="59" t="n"/>
      <c r="BE113" s="59" t="n"/>
      <c r="BF113" s="59" t="n"/>
      <c r="BG113" s="59" t="n"/>
      <c r="BH113" s="59" t="n"/>
      <c r="BI113" s="59" t="n"/>
      <c r="BJ113" s="59" t="n"/>
      <c r="BK113" s="59" t="n"/>
      <c r="BL113" s="59" t="n"/>
      <c r="BM113" s="59" t="n"/>
      <c r="BN113" s="59" t="inlineStr">
        <is>
          <t>x</t>
        </is>
      </c>
      <c r="BO113" s="59" t="inlineStr">
        <is>
          <t>x</t>
        </is>
      </c>
      <c r="BP113" s="59" t="n"/>
      <c r="BQ113" s="59" t="n"/>
      <c r="BR113" s="59" t="inlineStr">
        <is>
          <t>x</t>
        </is>
      </c>
      <c r="BS113" s="59" t="inlineStr">
        <is>
          <t>x</t>
        </is>
      </c>
      <c r="BT113" s="59" t="n"/>
      <c r="BU113" s="59" t="n"/>
      <c r="BV113" s="59" t="inlineStr">
        <is>
          <t>x</t>
        </is>
      </c>
      <c r="BW113" s="59" t="inlineStr">
        <is>
          <t>x</t>
        </is>
      </c>
      <c r="BX113" s="59" t="n"/>
      <c r="BY113" s="59" t="n"/>
      <c r="BZ113" s="59" t="n"/>
      <c r="CA113" s="59" t="n"/>
      <c r="CB113" s="59" t="n"/>
      <c r="EU113" s="30" t="n"/>
      <c r="EV113" s="30" t="n"/>
      <c r="EW113" s="30" t="n"/>
    </row>
    <row r="114" ht="15" customHeight="1">
      <c r="A114" s="63" t="inlineStr">
        <is>
          <t>El sistema no muestra los campos nombres, apellidos y cuentas en blanco</t>
        </is>
      </c>
      <c r="B114" s="66" t="n"/>
      <c r="C114" s="66" t="n"/>
      <c r="D114" s="66" t="n"/>
      <c r="E114" s="66" t="n"/>
      <c r="F114" s="66" t="n"/>
      <c r="G114" s="66" t="n"/>
      <c r="H114" s="66" t="n"/>
      <c r="I114" s="66" t="n"/>
      <c r="J114" s="66" t="n"/>
      <c r="K114" s="66" t="n"/>
      <c r="L114" s="66" t="n"/>
      <c r="M114" s="66" t="n"/>
      <c r="N114" s="66" t="n"/>
      <c r="O114" s="66" t="n"/>
      <c r="P114" s="66" t="n"/>
      <c r="Q114" s="66" t="n"/>
      <c r="R114" s="66" t="n"/>
      <c r="S114" s="66" t="n"/>
      <c r="T114" s="66" t="n"/>
      <c r="U114" s="66" t="n"/>
      <c r="V114" s="66" t="n"/>
      <c r="W114" s="66" t="n"/>
      <c r="X114" s="66" t="n"/>
      <c r="Y114" s="66" t="n"/>
      <c r="Z114" s="66" t="n"/>
      <c r="AA114" s="66" t="n"/>
      <c r="AB114" s="66" t="n"/>
      <c r="AC114" s="66" t="n"/>
      <c r="AD114" s="66" t="n"/>
      <c r="AE114" s="66" t="n"/>
      <c r="AF114" s="66" t="n"/>
      <c r="AG114" s="66" t="n"/>
      <c r="AH114" s="66" t="n"/>
      <c r="AI114" s="66" t="n"/>
      <c r="AJ114" s="66" t="n"/>
      <c r="AK114" s="66" t="n"/>
      <c r="AL114" s="66" t="n"/>
      <c r="AM114" s="66" t="n"/>
      <c r="AN114" s="66" t="n"/>
      <c r="AO114" s="66" t="n"/>
      <c r="AP114" s="66" t="n"/>
      <c r="AQ114" s="66" t="n"/>
      <c r="AR114" s="59" t="n"/>
      <c r="AS114" s="59" t="n"/>
      <c r="AT114" s="59" t="n"/>
      <c r="AU114" s="59" t="n"/>
      <c r="AV114" s="59" t="inlineStr">
        <is>
          <t>x</t>
        </is>
      </c>
      <c r="AW114" s="59" t="n"/>
      <c r="AX114" s="59" t="n"/>
      <c r="AY114" s="59" t="n"/>
      <c r="AZ114" s="59" t="inlineStr">
        <is>
          <t>x</t>
        </is>
      </c>
      <c r="BA114" s="59" t="n"/>
      <c r="BB114" s="59" t="n"/>
      <c r="BC114" s="59" t="n"/>
      <c r="BD114" s="59" t="inlineStr">
        <is>
          <t>x</t>
        </is>
      </c>
      <c r="BE114" s="59" t="n"/>
      <c r="BF114" s="59" t="n"/>
      <c r="BG114" s="59" t="n"/>
      <c r="BH114" s="59" t="n"/>
      <c r="BI114" s="59" t="n"/>
      <c r="BJ114" s="59" t="n"/>
      <c r="BK114" s="59" t="n"/>
      <c r="BL114" s="59" t="n"/>
      <c r="BM114" s="59" t="n"/>
      <c r="BN114" s="59" t="n"/>
      <c r="BO114" s="59" t="n"/>
      <c r="BP114" s="59" t="inlineStr">
        <is>
          <t>x</t>
        </is>
      </c>
      <c r="BQ114" s="59" t="n"/>
      <c r="BR114" s="59" t="n"/>
      <c r="BS114" s="59" t="n"/>
      <c r="BT114" s="59" t="inlineStr">
        <is>
          <t>x</t>
        </is>
      </c>
      <c r="BU114" s="59" t="n"/>
      <c r="BV114" s="59" t="n"/>
      <c r="BW114" s="59" t="n"/>
      <c r="BX114" s="59" t="inlineStr">
        <is>
          <t>x</t>
        </is>
      </c>
      <c r="BY114" s="59" t="n"/>
      <c r="BZ114" s="59" t="n"/>
      <c r="CA114" s="59" t="n"/>
      <c r="CB114" s="59" t="n"/>
      <c r="EU114" s="30" t="n"/>
      <c r="EV114" s="30" t="n"/>
      <c r="EW114" s="30" t="n"/>
    </row>
    <row r="115" ht="15" customFormat="1" customHeight="1" s="30">
      <c r="A115" s="63" t="inlineStr">
        <is>
          <t>El sistema no muestra de manera informativa las cuentas de ahorros vigentes en pantalla</t>
        </is>
      </c>
      <c r="B115" s="66" t="n"/>
      <c r="C115" s="66" t="n"/>
      <c r="D115" s="66" t="n"/>
      <c r="E115" s="66" t="n"/>
      <c r="F115" s="66" t="n"/>
      <c r="G115" s="66" t="n"/>
      <c r="H115" s="66" t="n"/>
      <c r="I115" s="66" t="n"/>
      <c r="J115" s="66" t="n"/>
      <c r="K115" s="66" t="n"/>
      <c r="L115" s="66" t="n"/>
      <c r="M115" s="66" t="n"/>
      <c r="N115" s="66" t="n"/>
      <c r="O115" s="66" t="n"/>
      <c r="P115" s="66" t="n"/>
      <c r="Q115" s="66" t="n"/>
      <c r="R115" s="66" t="n"/>
      <c r="S115" s="66" t="n"/>
      <c r="T115" s="66" t="n"/>
      <c r="U115" s="66" t="n"/>
      <c r="V115" s="66" t="n"/>
      <c r="W115" s="66" t="n"/>
      <c r="X115" s="66" t="n"/>
      <c r="Y115" s="66" t="n"/>
      <c r="Z115" s="66" t="n"/>
      <c r="AA115" s="66" t="n"/>
      <c r="AB115" s="66" t="n"/>
      <c r="AC115" s="66" t="n"/>
      <c r="AD115" s="66" t="n"/>
      <c r="AE115" s="66" t="n"/>
      <c r="AF115" s="66" t="n"/>
      <c r="AG115" s="66" t="n"/>
      <c r="AH115" s="66" t="n"/>
      <c r="AI115" s="66" t="n"/>
      <c r="AJ115" s="66" t="n"/>
      <c r="AK115" s="66" t="n"/>
      <c r="AL115" s="66" t="n"/>
      <c r="AM115" s="66" t="n"/>
      <c r="AN115" s="66" t="n"/>
      <c r="AO115" s="66" t="n"/>
      <c r="AP115" s="66" t="n"/>
      <c r="AQ115" s="66"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row>
    <row r="116" ht="15" customFormat="1" customHeight="1" s="30">
      <c r="A116" s="63" t="inlineStr">
        <is>
          <t>El sistema genera el siguiente mensaje bloqueante “El PIN ingresado ya ha sido cancelado, validar”</t>
        </is>
      </c>
      <c r="B116" s="66" t="n"/>
      <c r="C116" s="66" t="n"/>
      <c r="D116" s="66" t="n"/>
      <c r="E116" s="66" t="n"/>
      <c r="F116" s="66" t="n"/>
      <c r="G116" s="66" t="n"/>
      <c r="H116" s="66" t="n"/>
      <c r="I116" s="66" t="n"/>
      <c r="J116" s="66" t="n"/>
      <c r="K116" s="66" t="n"/>
      <c r="L116" s="66" t="n"/>
      <c r="M116" s="70" t="inlineStr">
        <is>
          <t>x</t>
        </is>
      </c>
      <c r="N116" s="70" t="inlineStr">
        <is>
          <t>x</t>
        </is>
      </c>
      <c r="O116" s="70"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66" t="n"/>
      <c r="AK116" s="66" t="n"/>
      <c r="AL116" s="66" t="n"/>
      <c r="AM116" s="66" t="n"/>
      <c r="AN116" s="66" t="n"/>
      <c r="AO116" s="66" t="n"/>
      <c r="AP116" s="66" t="n"/>
      <c r="AQ116" s="66" t="n"/>
      <c r="AR116" s="59" t="n"/>
      <c r="AS116" s="59" t="inlineStr">
        <is>
          <t>x</t>
        </is>
      </c>
      <c r="AT116" s="59" t="n"/>
      <c r="AU116" s="59" t="n"/>
      <c r="AV116" s="59" t="n"/>
      <c r="AW116" s="59" t="n"/>
      <c r="AX116" s="59" t="inlineStr">
        <is>
          <t>x</t>
        </is>
      </c>
      <c r="AY116" s="59" t="n"/>
      <c r="AZ116" s="59" t="n"/>
      <c r="BA116" s="59" t="n"/>
      <c r="BB116" s="59" t="inlineStr">
        <is>
          <t>x</t>
        </is>
      </c>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row>
    <row r="117" ht="15" customFormat="1" customHeight="1" s="30">
      <c r="A117" s="63" t="inlineStr">
        <is>
          <t>El sistema genera el siguiente mensaje bloqueante “Monto no permitido”</t>
        </is>
      </c>
      <c r="B117" s="66" t="n"/>
      <c r="C117" s="66" t="n"/>
      <c r="D117" s="66" t="n"/>
      <c r="E117" s="66" t="n"/>
      <c r="F117" s="66" t="n"/>
      <c r="G117" s="66" t="n"/>
      <c r="H117" s="66" t="n"/>
      <c r="I117" s="66" t="n"/>
      <c r="J117" s="66" t="n"/>
      <c r="K117" s="66" t="n"/>
      <c r="L117" s="66" t="n"/>
      <c r="M117" s="69" t="inlineStr">
        <is>
          <t>x</t>
        </is>
      </c>
      <c r="N117" s="69" t="inlineStr">
        <is>
          <t>x</t>
        </is>
      </c>
      <c r="O117" s="70" t="inlineStr">
        <is>
          <t>x</t>
        </is>
      </c>
      <c r="P117" s="66" t="n"/>
      <c r="Q117" s="66" t="n"/>
      <c r="R117" s="66" t="n"/>
      <c r="S117" s="66" t="n"/>
      <c r="T117" s="66" t="n"/>
      <c r="U117" s="66" t="n"/>
      <c r="V117" s="66" t="n"/>
      <c r="W117" s="66" t="n"/>
      <c r="X117" s="66" t="n"/>
      <c r="Y117" s="66" t="n"/>
      <c r="Z117" s="66" t="n"/>
      <c r="AA117" s="66" t="n"/>
      <c r="AB117" s="66" t="n"/>
      <c r="AC117" s="66" t="n"/>
      <c r="AD117" s="66" t="n"/>
      <c r="AE117" s="66" t="n"/>
      <c r="AF117" s="66" t="n"/>
      <c r="AG117" s="66" t="n"/>
      <c r="AH117" s="66" t="n"/>
      <c r="AI117" s="66" t="n"/>
      <c r="AJ117" s="66" t="n"/>
      <c r="AK117" s="66" t="n"/>
      <c r="AL117" s="66" t="n"/>
      <c r="AM117" s="66" t="n"/>
      <c r="AN117" s="66" t="n"/>
      <c r="AO117" s="66" t="n"/>
      <c r="AP117" s="66" t="n"/>
      <c r="AQ117" s="66"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row>
    <row r="118" ht="15" customFormat="1" customHeight="1" s="30">
      <c r="A118" s="55" t="inlineStr">
        <is>
          <t>El sistema permite continuar con la ejecución</t>
        </is>
      </c>
      <c r="B118" s="68" t="inlineStr">
        <is>
          <t>x</t>
        </is>
      </c>
      <c r="C118" s="68" t="inlineStr">
        <is>
          <t>x</t>
        </is>
      </c>
      <c r="D118" s="68" t="n"/>
      <c r="E118" s="68" t="n"/>
      <c r="F118" s="68" t="n"/>
      <c r="G118" s="68" t="inlineStr">
        <is>
          <t>x</t>
        </is>
      </c>
      <c r="H118" s="68" t="inlineStr">
        <is>
          <t>x</t>
        </is>
      </c>
      <c r="I118" s="68" t="inlineStr">
        <is>
          <t>x</t>
        </is>
      </c>
      <c r="J118" s="68" t="n"/>
      <c r="K118" s="68" t="n"/>
      <c r="L118" s="68" t="n"/>
      <c r="M118" s="68" t="n"/>
      <c r="N118" s="68" t="n"/>
      <c r="O118" s="68" t="n"/>
      <c r="P118" s="68" t="n"/>
      <c r="Q118" s="68"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c r="AO118" s="65" t="n"/>
      <c r="AP118" s="65" t="n"/>
      <c r="AQ118" s="65" t="n"/>
      <c r="AR118" s="59" t="inlineStr">
        <is>
          <t>x</t>
        </is>
      </c>
      <c r="AS118" s="59" t="n"/>
      <c r="AT118" s="59" t="inlineStr">
        <is>
          <t>x</t>
        </is>
      </c>
      <c r="AU118" s="59" t="n"/>
      <c r="AV118" s="59" t="n"/>
      <c r="AW118" s="59" t="inlineStr">
        <is>
          <t>x</t>
        </is>
      </c>
      <c r="AX118" s="59" t="n"/>
      <c r="AY118" s="59" t="n"/>
      <c r="AZ118" s="59" t="n"/>
      <c r="BA118" s="59" t="inlineStr">
        <is>
          <t>x</t>
        </is>
      </c>
      <c r="BB118" s="59" t="n"/>
      <c r="BC118" s="59" t="n"/>
      <c r="BD118" s="59" t="n"/>
      <c r="BE118" s="59" t="inlineStr">
        <is>
          <t>x</t>
        </is>
      </c>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inlineStr">
        <is>
          <t>x</t>
        </is>
      </c>
      <c r="BZ118" s="59" t="n"/>
      <c r="CA118" s="59" t="n"/>
      <c r="CB118" s="59" t="n"/>
    </row>
    <row r="119" ht="15" customFormat="1" customHeight="1" s="30">
      <c r="A119" s="55" t="inlineStr">
        <is>
          <t>El sistema permite generar 2 Cut en 1/4 de hoja carta. Uno se entregará al cliente y otro se quedará para BMM.</t>
        </is>
      </c>
      <c r="B119" s="68" t="inlineStr">
        <is>
          <t>x</t>
        </is>
      </c>
      <c r="C119" s="68" t="inlineStr">
        <is>
          <t>x</t>
        </is>
      </c>
      <c r="D119" s="68" t="n"/>
      <c r="E119" s="68" t="n"/>
      <c r="F119" s="68" t="n"/>
      <c r="G119" s="68" t="inlineStr">
        <is>
          <t>x</t>
        </is>
      </c>
      <c r="H119" s="68" t="inlineStr">
        <is>
          <t>x</t>
        </is>
      </c>
      <c r="I119" s="68" t="inlineStr">
        <is>
          <t>x</t>
        </is>
      </c>
      <c r="J119" s="68" t="n"/>
      <c r="K119" s="68" t="n"/>
      <c r="L119" s="68" t="n"/>
      <c r="M119" s="68" t="n"/>
      <c r="N119" s="68" t="n"/>
      <c r="O119" s="68" t="n"/>
      <c r="P119" s="68" t="n"/>
      <c r="Q119" s="68"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c r="AO119" s="65" t="n"/>
      <c r="AP119" s="65" t="n"/>
      <c r="AQ119" s="65" t="n"/>
      <c r="AR119" s="59" t="inlineStr">
        <is>
          <t>x</t>
        </is>
      </c>
      <c r="AS119" s="59" t="n"/>
      <c r="AT119" s="59" t="inlineStr">
        <is>
          <t>x</t>
        </is>
      </c>
      <c r="AU119" s="59" t="n"/>
      <c r="AV119" s="59" t="n"/>
      <c r="AW119" s="59" t="inlineStr">
        <is>
          <t>x</t>
        </is>
      </c>
      <c r="AX119" s="59" t="n"/>
      <c r="AY119" s="59" t="n"/>
      <c r="AZ119" s="59" t="n"/>
      <c r="BA119" s="59" t="inlineStr">
        <is>
          <t>x</t>
        </is>
      </c>
      <c r="BB119" s="59" t="n"/>
      <c r="BC119" s="59" t="n"/>
      <c r="BD119" s="59" t="n"/>
      <c r="BE119" s="59" t="inlineStr">
        <is>
          <t>x</t>
        </is>
      </c>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inlineStr">
        <is>
          <t>x</t>
        </is>
      </c>
      <c r="BZ119" s="59" t="n"/>
      <c r="CA119" s="59" t="n"/>
      <c r="CB119" s="59" t="n"/>
    </row>
    <row r="120" ht="27.6" customFormat="1" customHeight="1" s="30">
      <c r="A120" s="55" t="inlineStr">
        <is>
          <t>El sistema debita el dinero del rubro 16909503220, para acreditarse al rubro 21080501010, según el tipo de pago seleccionado por el usuario/cliente (cuenta de ahorros).</t>
        </is>
      </c>
      <c r="B120" s="68" t="inlineStr">
        <is>
          <t>x</t>
        </is>
      </c>
      <c r="C120" s="68" t="n"/>
      <c r="D120" s="68" t="n"/>
      <c r="E120" s="68" t="n"/>
      <c r="F120" s="68" t="n"/>
      <c r="G120" s="68" t="n"/>
      <c r="H120" s="68" t="n"/>
      <c r="I120" s="68" t="n"/>
      <c r="J120" s="68" t="n"/>
      <c r="K120" s="68" t="n"/>
      <c r="L120" s="68" t="n"/>
      <c r="M120" s="68" t="n"/>
      <c r="N120" s="68" t="n"/>
      <c r="O120" s="68" t="n"/>
      <c r="P120" s="68" t="n"/>
      <c r="Q120" s="68"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c r="AO120" s="65" t="n"/>
      <c r="AP120" s="65" t="n"/>
      <c r="AQ120" s="65" t="n"/>
      <c r="AR120" s="59" t="inlineStr">
        <is>
          <t>x</t>
        </is>
      </c>
      <c r="AS120" s="59" t="n"/>
      <c r="AT120" s="59" t="inlineStr">
        <is>
          <t>x</t>
        </is>
      </c>
      <c r="AU120" s="59" t="n"/>
      <c r="AV120" s="59" t="n"/>
      <c r="AW120" s="59" t="inlineStr">
        <is>
          <t>x</t>
        </is>
      </c>
      <c r="AX120" s="59" t="n"/>
      <c r="AY120" s="59" t="n"/>
      <c r="AZ120" s="59" t="n"/>
      <c r="BA120" s="59" t="inlineStr">
        <is>
          <t>x</t>
        </is>
      </c>
      <c r="BB120" s="59" t="n"/>
      <c r="BC120" s="59" t="n"/>
      <c r="BD120" s="59" t="n"/>
      <c r="BE120" s="59" t="inlineStr">
        <is>
          <t>x</t>
        </is>
      </c>
      <c r="BF120" s="59" t="n"/>
      <c r="BG120" s="59" t="n"/>
      <c r="BH120" s="59" t="n"/>
      <c r="BI120" s="59" t="inlineStr">
        <is>
          <t>x</t>
        </is>
      </c>
      <c r="BJ120" s="59" t="n"/>
      <c r="BK120" s="59" t="n"/>
      <c r="BL120" s="59" t="n"/>
      <c r="BM120" s="59" t="n"/>
      <c r="BN120" s="59" t="n"/>
      <c r="BO120" s="59" t="n"/>
      <c r="BP120" s="59" t="n"/>
      <c r="BQ120" s="59" t="n"/>
      <c r="BR120" s="59" t="n"/>
      <c r="BS120" s="59" t="n"/>
      <c r="BT120" s="59" t="n"/>
      <c r="BU120" s="59" t="n"/>
      <c r="BV120" s="59" t="n"/>
      <c r="BW120" s="59" t="n"/>
      <c r="BX120" s="59" t="n"/>
      <c r="BY120" s="59" t="inlineStr">
        <is>
          <t>x</t>
        </is>
      </c>
      <c r="BZ120" s="59" t="n"/>
      <c r="CA120" s="59" t="n"/>
      <c r="CB120" s="59" t="n"/>
    </row>
    <row r="121" ht="27.6" customFormat="1" customHeight="1" s="30">
      <c r="A121" s="55" t="inlineStr">
        <is>
          <t>El sistema debita el dinero del rubro 16909503220, para acreditarse al rubro 11150503010, según el tipo de pago seleccionado por el usuario/cliente (efectivo).</t>
        </is>
      </c>
      <c r="B121" s="68" t="n"/>
      <c r="C121" s="68" t="inlineStr">
        <is>
          <t>x</t>
        </is>
      </c>
      <c r="D121" s="68" t="n"/>
      <c r="E121" s="68" t="n"/>
      <c r="F121" s="68" t="n"/>
      <c r="G121" s="68" t="n"/>
      <c r="H121" s="68" t="n"/>
      <c r="I121" s="68" t="n"/>
      <c r="J121" s="68" t="n"/>
      <c r="K121" s="68" t="n"/>
      <c r="L121" s="68" t="n"/>
      <c r="M121" s="68" t="n"/>
      <c r="N121" s="68" t="n"/>
      <c r="O121" s="68" t="n"/>
      <c r="P121" s="68" t="n"/>
      <c r="Q121" s="68"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c r="AO121" s="65" t="n"/>
      <c r="AP121" s="65" t="n"/>
      <c r="AQ121" s="65"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inlineStr">
        <is>
          <t>x</t>
        </is>
      </c>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row>
    <row r="122" ht="27.6" customFormat="1" customHeight="1" s="30">
      <c r="A122" s="55" t="inlineStr">
        <is>
          <t>El sistema debita el dinero del rubro 16909503220, para acreditarse al rubro 11050501010 según el tipo de pago seleccionado por el usuario/cliente (cheque).</t>
        </is>
      </c>
      <c r="B122" s="65" t="n"/>
      <c r="C122" s="65" t="n"/>
      <c r="D122" s="65" t="n"/>
      <c r="E122" s="65" t="n"/>
      <c r="F122" s="65" t="n"/>
      <c r="G122" s="68" t="inlineStr">
        <is>
          <t>x</t>
        </is>
      </c>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c r="AO122" s="65" t="n"/>
      <c r="AP122" s="65" t="n"/>
      <c r="AQ122" s="65"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inlineStr">
        <is>
          <t>x</t>
        </is>
      </c>
      <c r="BL122" s="59" t="n"/>
      <c r="BM122" s="59" t="n"/>
      <c r="BN122" s="59" t="n"/>
      <c r="BO122" s="59" t="n"/>
      <c r="BP122" s="59" t="n"/>
      <c r="BQ122" s="59" t="n"/>
      <c r="BR122" s="59" t="n"/>
      <c r="BS122" s="59" t="n"/>
      <c r="BT122" s="59" t="n"/>
      <c r="BU122" s="59" t="n"/>
      <c r="BV122" s="59" t="n"/>
      <c r="BW122" s="59" t="n"/>
      <c r="BX122" s="59" t="n"/>
      <c r="BY122" s="59" t="n"/>
      <c r="BZ122" s="59" t="n"/>
      <c r="CA122" s="59" t="n"/>
      <c r="CB122" s="59" t="n"/>
    </row>
    <row r="123" ht="27.6" customFormat="1" customHeight="1" s="30">
      <c r="A123" s="55" t="inlineStr">
        <is>
          <t xml:space="preserve">El sistema debita el dinero del rubro 16909503220, para acreditarse al rubro 21080501010, 11150503010 o 11050501010 según el tipo de pago seleccionado por el usuario/cliente (mixto). </t>
        </is>
      </c>
      <c r="B123" s="65" t="n"/>
      <c r="C123" s="65" t="n"/>
      <c r="D123" s="65" t="n"/>
      <c r="E123" s="65" t="n"/>
      <c r="F123" s="65" t="n"/>
      <c r="G123" s="65" t="n"/>
      <c r="H123" s="68" t="inlineStr">
        <is>
          <t>x</t>
        </is>
      </c>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c r="AO123" s="65" t="n"/>
      <c r="AP123" s="65" t="n"/>
      <c r="AQ123" s="65"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inlineStr">
        <is>
          <t>x</t>
        </is>
      </c>
      <c r="BM123" s="59" t="n"/>
      <c r="BN123" s="59" t="n"/>
      <c r="BO123" s="59" t="n"/>
      <c r="BP123" s="59" t="n"/>
      <c r="BQ123" s="59" t="n"/>
      <c r="BR123" s="59" t="n"/>
      <c r="BS123" s="59" t="n"/>
      <c r="BT123" s="59" t="n"/>
      <c r="BU123" s="59" t="n"/>
      <c r="BV123" s="59" t="n"/>
      <c r="BW123" s="59" t="n"/>
      <c r="BX123" s="59" t="n"/>
      <c r="BY123" s="59" t="n"/>
      <c r="BZ123" s="59" t="n"/>
      <c r="CA123" s="59" t="n"/>
      <c r="CB123" s="59" t="n"/>
    </row>
    <row r="124" ht="15" customFormat="1" customHeight="1" s="30">
      <c r="A124" s="63" t="inlineStr">
        <is>
          <t>El sistema no permite continuar con la ejecución</t>
        </is>
      </c>
      <c r="B124" s="66" t="n"/>
      <c r="C124" s="66" t="n"/>
      <c r="D124" s="70" t="inlineStr">
        <is>
          <t>x</t>
        </is>
      </c>
      <c r="E124" s="70" t="inlineStr">
        <is>
          <t>x</t>
        </is>
      </c>
      <c r="F124" s="66" t="n"/>
      <c r="G124" s="66" t="n"/>
      <c r="H124" s="66" t="n"/>
      <c r="I124" s="66" t="n"/>
      <c r="J124" s="66" t="n"/>
      <c r="K124" s="66" t="n"/>
      <c r="L124" s="66" t="n"/>
      <c r="M124" s="66" t="n"/>
      <c r="N124" s="66" t="n"/>
      <c r="O124" s="70" t="inlineStr">
        <is>
          <t>x</t>
        </is>
      </c>
      <c r="P124" s="70" t="inlineStr">
        <is>
          <t>x</t>
        </is>
      </c>
      <c r="Q124" s="66" t="n"/>
      <c r="R124" s="66" t="n"/>
      <c r="S124" s="66" t="n"/>
      <c r="T124" s="66" t="n"/>
      <c r="U124" s="66" t="n"/>
      <c r="V124" s="66" t="n"/>
      <c r="W124" s="66" t="n"/>
      <c r="X124" s="66" t="n"/>
      <c r="Y124" s="66" t="n"/>
      <c r="Z124" s="66" t="n"/>
      <c r="AA124" s="66" t="n"/>
      <c r="AB124" s="66" t="n"/>
      <c r="AC124" s="66" t="n"/>
      <c r="AD124" s="66" t="n"/>
      <c r="AE124" s="66" t="n"/>
      <c r="AF124" s="66" t="n"/>
      <c r="AG124" s="66" t="n"/>
      <c r="AH124" s="66" t="n"/>
      <c r="AI124" s="66" t="n"/>
      <c r="AJ124" s="66" t="n"/>
      <c r="AK124" s="66" t="n"/>
      <c r="AL124" s="66" t="n"/>
      <c r="AM124" s="66" t="n"/>
      <c r="AN124" s="66" t="n"/>
      <c r="AO124" s="66" t="n"/>
      <c r="AP124" s="66" t="n"/>
      <c r="AQ124" s="66" t="n"/>
      <c r="AR124" s="59" t="n"/>
      <c r="AS124" s="59" t="n"/>
      <c r="AT124" s="59" t="n"/>
      <c r="AU124" s="59" t="n"/>
      <c r="AV124" s="59" t="inlineStr">
        <is>
          <t>x</t>
        </is>
      </c>
      <c r="AW124" s="59" t="n"/>
      <c r="AX124" s="59" t="n"/>
      <c r="AY124" s="59" t="n"/>
      <c r="AZ124" s="59" t="inlineStr">
        <is>
          <t>x</t>
        </is>
      </c>
      <c r="BA124" s="59" t="n"/>
      <c r="BB124" s="59" t="n"/>
      <c r="BC124" s="59" t="n"/>
      <c r="BD124" s="59" t="inlineStr">
        <is>
          <t>x</t>
        </is>
      </c>
      <c r="BE124" s="59" t="n"/>
      <c r="BF124" s="59" t="inlineStr">
        <is>
          <t>x</t>
        </is>
      </c>
      <c r="BG124" s="59" t="inlineStr">
        <is>
          <t>x</t>
        </is>
      </c>
      <c r="BH124" s="59" t="inlineStr">
        <is>
          <t>x</t>
        </is>
      </c>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inlineStr">
        <is>
          <t>x</t>
        </is>
      </c>
      <c r="CA124" s="59" t="inlineStr">
        <is>
          <t>x</t>
        </is>
      </c>
      <c r="CB124" s="59" t="inlineStr">
        <is>
          <t>x</t>
        </is>
      </c>
    </row>
    <row r="125" ht="15" customFormat="1" customHeight="1" s="30">
      <c r="A125" s="55" t="inlineStr">
        <is>
          <t>El sistema muestra el panel de Seleccionar Titular/Beneficiario</t>
        </is>
      </c>
      <c r="B125" s="65" t="n"/>
      <c r="C125" s="65" t="n"/>
      <c r="D125" s="65" t="n"/>
      <c r="E125" s="65" t="n"/>
      <c r="F125" s="65" t="n"/>
      <c r="G125" s="65" t="n"/>
      <c r="H125" s="65" t="n"/>
      <c r="I125" s="65" t="n"/>
      <c r="J125" s="68" t="inlineStr">
        <is>
          <t>x</t>
        </is>
      </c>
      <c r="K125" s="65" t="n"/>
      <c r="L125" s="65" t="n"/>
    </row>
    <row r="126" ht="15" customFormat="1" customHeight="1" s="30">
      <c r="A126" s="55" t="inlineStr">
        <is>
          <t>El sistema muestra el detalle del Asiento</t>
        </is>
      </c>
      <c r="B126" s="65" t="n"/>
      <c r="C126" s="65" t="n"/>
      <c r="D126" s="65" t="n"/>
      <c r="E126" s="65" t="n"/>
      <c r="F126" s="65" t="n"/>
      <c r="G126" s="65" t="n"/>
      <c r="H126" s="65" t="n"/>
      <c r="I126" s="65" t="n"/>
      <c r="J126" s="65" t="n"/>
      <c r="K126" s="68" t="inlineStr">
        <is>
          <t>x</t>
        </is>
      </c>
      <c r="L126" s="65" t="n"/>
    </row>
    <row r="127" ht="15" customFormat="1" customHeight="1" s="30">
      <c r="A127" s="55" t="inlineStr">
        <is>
          <t>El sistema muestra el panel de Operaciones de Caja</t>
        </is>
      </c>
      <c r="B127" s="65" t="n"/>
      <c r="C127" s="65" t="n"/>
      <c r="D127" s="65" t="n"/>
      <c r="E127" s="65" t="n"/>
      <c r="F127" s="65" t="n"/>
      <c r="G127" s="65" t="n"/>
      <c r="H127" s="65" t="n"/>
      <c r="I127" s="65" t="n"/>
      <c r="J127" s="65" t="n"/>
      <c r="K127" s="65" t="n"/>
      <c r="L127" s="68" t="inlineStr">
        <is>
          <t>x</t>
        </is>
      </c>
    </row>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sheetData>
  <pageMargins left="0.7" right="0.7" top="0.75" bottom="0.75" header="0.3" footer="0.3"/>
  <pageSetup orientation="portrait"/>
</worksheet>
</file>

<file path=xl/worksheets/sheet3.xml><?xml version="1.0" encoding="utf-8"?>
<worksheet xmlns="http://schemas.openxmlformats.org/spreadsheetml/2006/main">
  <sheetPr codeName="Hoja5">
    <outlinePr summaryBelow="1" summaryRight="1"/>
    <pageSetUpPr/>
  </sheetPr>
  <dimension ref="A1:E22"/>
  <sheetViews>
    <sheetView workbookViewId="0">
      <selection activeCell="B8" sqref="B8"/>
    </sheetView>
  </sheetViews>
  <sheetFormatPr baseColWidth="10" defaultColWidth="11.5546875" defaultRowHeight="13.2"/>
  <cols>
    <col width="39.5546875" customWidth="1" style="87" min="1" max="1"/>
    <col width="54.44140625" customWidth="1" style="83" min="2" max="5"/>
    <col width="11.5546875" customWidth="1" style="87" min="6" max="16384"/>
  </cols>
  <sheetData>
    <row r="1" ht="36.6" customHeight="1">
      <c r="A1" s="88" t="inlineStr">
        <is>
          <t>Nombre del Requerimiento</t>
        </is>
      </c>
      <c r="B1" s="88" t="inlineStr">
        <is>
          <t>R1: Ejecución Exitosa y Optimizada</t>
        </is>
      </c>
      <c r="C1" s="88" t="inlineStr">
        <is>
          <t>R2: Ejecución Fallida (No detiene cadena)</t>
        </is>
      </c>
      <c r="D1" s="88" t="inlineStr">
        <is>
          <t>R3: Intento de Ejecución Concurrente (Negativo)</t>
        </is>
      </c>
      <c r="E1" s="88" t="inlineStr">
        <is>
          <t>R4: Consulta de Configuración del Proceso</t>
        </is>
      </c>
    </row>
    <row r="2">
      <c r="A2" s="89" t="inlineStr">
        <is>
          <t>"Precondiciones"</t>
        </is>
      </c>
      <c r="B2" s="85" t="n"/>
      <c r="C2" s="85" t="n"/>
      <c r="D2" s="85" t="n"/>
      <c r="E2" s="85" t="n"/>
    </row>
    <row r="3" ht="26.4" customHeight="1">
      <c r="A3" s="84" t="inlineStr">
        <is>
          <t>1. Proceso PJMMN177 configurado para paralelización.</t>
        </is>
      </c>
      <c r="B3" s="85" t="inlineStr">
        <is>
          <t>X</t>
        </is>
      </c>
      <c r="C3" s="85" t="inlineStr">
        <is>
          <t>X</t>
        </is>
      </c>
      <c r="D3" s="85" t="inlineStr">
        <is>
          <t>X</t>
        </is>
      </c>
      <c r="E3" s="85" t="inlineStr">
        <is>
          <t>X</t>
        </is>
      </c>
    </row>
    <row r="4" ht="26.4" customHeight="1">
      <c r="A4" s="84" t="inlineStr">
        <is>
          <t>2. Threads de procesos (1 a 15) correctamente definidos.</t>
        </is>
      </c>
      <c r="B4" s="85" t="inlineStr">
        <is>
          <t>X</t>
        </is>
      </c>
      <c r="C4" s="85" t="inlineStr">
        <is>
          <t>X</t>
        </is>
      </c>
      <c r="D4" s="85" t="inlineStr">
        <is>
          <t>X</t>
        </is>
      </c>
      <c r="E4" s="85" t="inlineStr">
        <is>
          <t>X</t>
        </is>
      </c>
    </row>
    <row r="5" ht="26.4" customHeight="1">
      <c r="A5" s="84" t="inlineStr">
        <is>
          <t>3. Usuario QA con permisos de consulta y ejecución.</t>
        </is>
      </c>
      <c r="B5" s="85" t="inlineStr">
        <is>
          <t>X</t>
        </is>
      </c>
      <c r="C5" s="85" t="inlineStr">
        <is>
          <t>X</t>
        </is>
      </c>
      <c r="D5" s="85" t="inlineStr">
        <is>
          <t>X</t>
        </is>
      </c>
      <c r="E5" s="85" t="inlineStr">
        <is>
          <t>X</t>
        </is>
      </c>
    </row>
    <row r="6" ht="26.4" customHeight="1">
      <c r="A6" s="84" t="inlineStr">
        <is>
          <t>4. Proceso PJMMN177 se encuentra "En Ejecución".</t>
        </is>
      </c>
      <c r="B6" s="85" t="n"/>
      <c r="C6" s="85" t="n"/>
      <c r="D6" s="85" t="inlineStr">
        <is>
          <t>X</t>
        </is>
      </c>
      <c r="E6" s="85" t="n"/>
    </row>
    <row r="7">
      <c r="A7" s="89" t="inlineStr">
        <is>
          <t>"Condiciones / Valores Límite"</t>
        </is>
      </c>
      <c r="B7" s="85" t="n"/>
      <c r="C7" s="85" t="n"/>
      <c r="D7" s="85" t="n"/>
      <c r="E7" s="85" t="n"/>
    </row>
    <row r="8" ht="26.4" customHeight="1">
      <c r="A8" s="84" t="inlineStr">
        <is>
          <t>1. Volumen de Datos: Carga representativa (Clase de equivalencia válida).</t>
        </is>
      </c>
      <c r="B8" s="85" t="inlineStr">
        <is>
          <t>X</t>
        </is>
      </c>
      <c r="C8" s="85" t="inlineStr">
        <is>
          <t>X</t>
        </is>
      </c>
      <c r="D8" s="85" t="n"/>
      <c r="E8" s="85" t="n"/>
    </row>
    <row r="9" ht="26.4" customHeight="1">
      <c r="A9" s="84" t="inlineStr">
        <is>
          <t>2. Volumen de Datos: Carga máxima de estrés (Valor Límite Superior).</t>
        </is>
      </c>
      <c r="B9" s="85" t="inlineStr">
        <is>
          <t>X</t>
        </is>
      </c>
      <c r="C9" s="85" t="n"/>
      <c r="D9" s="85" t="n"/>
      <c r="E9" s="85" t="n"/>
    </row>
    <row r="10" ht="26.4" customHeight="1">
      <c r="A10" s="84" t="inlineStr">
        <is>
          <t>3. Threads: Ejecución utilizando todos los threads configurados (15).</t>
        </is>
      </c>
      <c r="B10" s="85" t="inlineStr">
        <is>
          <t>X</t>
        </is>
      </c>
      <c r="C10" s="85" t="inlineStr">
        <is>
          <t>X</t>
        </is>
      </c>
      <c r="D10" s="85" t="n"/>
      <c r="E10" s="85" t="n"/>
    </row>
    <row r="11" ht="26.4" customHeight="1">
      <c r="A11" s="84" t="inlineStr">
        <is>
          <t>4. Threads: Ejecución utilizando 1 solo thread (Valor Límite Inferior).</t>
        </is>
      </c>
      <c r="B11" s="85" t="inlineStr">
        <is>
          <t>X</t>
        </is>
      </c>
      <c r="C11" s="85" t="n"/>
      <c r="D11" s="85" t="n"/>
      <c r="E11" s="85" t="n"/>
    </row>
    <row r="12">
      <c r="A12" s="89" t="inlineStr">
        <is>
          <t>"Módulos Involucrados"</t>
        </is>
      </c>
      <c r="B12" s="85" t="n"/>
      <c r="C12" s="85" t="n"/>
      <c r="D12" s="85" t="n"/>
      <c r="E12" s="85" t="n"/>
    </row>
    <row r="13" ht="22.95" customHeight="1">
      <c r="A13" s="90" t="inlineStr">
        <is>
          <t>1. Módulo de Ejecución de Procesos Batch.</t>
        </is>
      </c>
      <c r="B13" s="91" t="inlineStr">
        <is>
          <t>X</t>
        </is>
      </c>
      <c r="C13" s="91" t="inlineStr">
        <is>
          <t>X</t>
        </is>
      </c>
      <c r="D13" s="91" t="inlineStr">
        <is>
          <t>X</t>
        </is>
      </c>
      <c r="E13" s="91" t="n"/>
    </row>
    <row r="14" ht="22.95" customHeight="1">
      <c r="A14" s="90" t="inlineStr">
        <is>
          <t>2. Módulo de Consulta de Logs.</t>
        </is>
      </c>
      <c r="B14" s="91" t="inlineStr">
        <is>
          <t>X</t>
        </is>
      </c>
      <c r="C14" s="91" t="inlineStr">
        <is>
          <t>X</t>
        </is>
      </c>
      <c r="D14" s="91" t="n"/>
      <c r="E14" s="91" t="n"/>
    </row>
    <row r="15" ht="26.4" customHeight="1">
      <c r="A15" s="90" t="inlineStr">
        <is>
          <t>3. Módulo de Mantenimiento de Procesos (Consulta).</t>
        </is>
      </c>
      <c r="B15" s="91" t="n"/>
      <c r="C15" s="91" t="n"/>
      <c r="D15" s="91" t="n"/>
      <c r="E15" s="91" t="inlineStr">
        <is>
          <t>X</t>
        </is>
      </c>
    </row>
    <row r="16">
      <c r="A16" s="90" t="inlineStr">
        <is>
          <t>"Acciones / Resultados"</t>
        </is>
      </c>
      <c r="B16" s="91" t="n"/>
      <c r="C16" s="91" t="n"/>
      <c r="D16" s="91" t="n"/>
      <c r="E16" s="91" t="n"/>
    </row>
    <row r="17" ht="21" customHeight="1">
      <c r="A17" s="90" t="inlineStr">
        <is>
          <t>1. Acción: Ejecutar PJMMN177 bajo demanda.</t>
        </is>
      </c>
      <c r="B17" s="91" t="inlineStr">
        <is>
          <t>X</t>
        </is>
      </c>
      <c r="C17" s="91" t="inlineStr">
        <is>
          <t>X</t>
        </is>
      </c>
      <c r="D17" s="91" t="inlineStr">
        <is>
          <t>X</t>
        </is>
      </c>
      <c r="E17" s="91" t="n"/>
    </row>
    <row r="18" ht="26.4" customHeight="1">
      <c r="A18" s="90" t="inlineStr">
        <is>
          <t>2. Acción: Consultar configuración del proceso PJMMN177.</t>
        </is>
      </c>
      <c r="B18" s="91" t="n"/>
      <c r="C18" s="91" t="n"/>
      <c r="D18" s="91" t="n"/>
      <c r="E18" s="91" t="inlineStr">
        <is>
          <t>X</t>
        </is>
      </c>
    </row>
    <row r="19" ht="39.6" customHeight="1">
      <c r="A19" s="90" t="inlineStr">
        <is>
          <t>3. Resultado: Proceso finaliza correctamente y en un tiempo significativamente menor a las 10 horas.</t>
        </is>
      </c>
      <c r="B19" s="91" t="inlineStr">
        <is>
          <t>X</t>
        </is>
      </c>
      <c r="C19" s="91" t="n"/>
      <c r="D19" s="91" t="n"/>
      <c r="E19" s="91" t="n"/>
    </row>
    <row r="20" ht="39.6" customHeight="1">
      <c r="A20" s="90" t="inlineStr">
        <is>
          <t>4. Resultado: Proceso falla, pero el siguiente proceso de la cadena (PJMMN176) inicia su ejecución.</t>
        </is>
      </c>
      <c r="B20" s="91" t="n"/>
      <c r="C20" s="91" t="inlineStr">
        <is>
          <t>X</t>
        </is>
      </c>
      <c r="D20" s="91" t="n"/>
      <c r="E20" s="91" t="n"/>
    </row>
    <row r="21" ht="39.6" customHeight="1">
      <c r="A21" s="90" t="inlineStr">
        <is>
          <t>5. Resultado: El sistema impide la segunda ejecución y muestra un mensaje de error informativo.</t>
        </is>
      </c>
      <c r="B21" s="91" t="n"/>
      <c r="C21" s="91" t="n"/>
      <c r="D21" s="91" t="inlineStr">
        <is>
          <t>X</t>
        </is>
      </c>
      <c r="E21" s="91" t="n"/>
    </row>
    <row r="22" ht="39.6" customHeight="1">
      <c r="A22" s="90" t="inlineStr">
        <is>
          <t>6. Resultado: La interfaz de Bantotal muestra correctamente los parámetros de SQL, threads y comportamiento.</t>
        </is>
      </c>
      <c r="B22" s="91" t="n"/>
      <c r="C22" s="91" t="n"/>
      <c r="D22" s="91" t="n"/>
      <c r="E22" s="91" t="inlineStr">
        <is>
          <t>X</t>
        </is>
      </c>
    </row>
  </sheetData>
  <pageMargins left="0.7" right="0.7" top="0.75" bottom="0.75" header="0.3" footer="0.3"/>
</worksheet>
</file>

<file path=xl/worksheets/sheet4.xml><?xml version="1.0" encoding="utf-8"?>
<worksheet xmlns="http://schemas.openxmlformats.org/spreadsheetml/2006/main">
  <sheetPr codeName="Hoja6">
    <outlinePr summaryBelow="1" summaryRight="1"/>
    <pageSetUpPr/>
  </sheetPr>
  <dimension ref="A1:J33"/>
  <sheetViews>
    <sheetView tabSelected="1" zoomScaleNormal="100" workbookViewId="0">
      <selection activeCell="C10" sqref="C10"/>
    </sheetView>
  </sheetViews>
  <sheetFormatPr baseColWidth="10" defaultRowHeight="13.2"/>
  <cols>
    <col width="20.6640625" customWidth="1" min="1" max="1"/>
    <col width="16.44140625" customWidth="1" min="2" max="2"/>
    <col width="15.88671875" customWidth="1" min="3" max="3"/>
    <col width="49.6640625" customWidth="1" min="4" max="4"/>
    <col width="45.44140625" customWidth="1" min="5" max="5"/>
    <col width="31.44140625" customWidth="1" min="6" max="6"/>
    <col width="34.77734375" customWidth="1" min="7" max="7"/>
    <col width="15.88671875" customWidth="1" min="8" max="8"/>
    <col width="23.33203125" customWidth="1" min="9" max="9"/>
    <col width="3.109375" customWidth="1" min="10" max="10"/>
  </cols>
  <sheetData>
    <row r="1">
      <c r="A1" s="157" t="inlineStr">
        <is>
          <t>DISEÑO DE PRUEBAS</t>
        </is>
      </c>
      <c r="B1" s="158" t="n"/>
      <c r="C1" s="158" t="n"/>
      <c r="D1" s="158" t="n"/>
      <c r="E1" s="158" t="n"/>
      <c r="F1" s="158" t="n"/>
      <c r="G1" s="158" t="n"/>
      <c r="H1" s="158" t="n"/>
      <c r="I1" s="159" t="n"/>
      <c r="J1" s="30" t="n"/>
    </row>
    <row r="2" ht="30.6" customHeight="1">
      <c r="A2" s="160" t="n"/>
      <c r="I2" s="161" t="n"/>
      <c r="J2" s="30" t="n"/>
    </row>
    <row r="3">
      <c r="A3" s="162" t="n"/>
      <c r="B3" s="163" t="n"/>
      <c r="C3" s="163" t="n"/>
      <c r="D3" s="163" t="n"/>
      <c r="E3" s="163" t="n"/>
      <c r="F3" s="163" t="n"/>
      <c r="G3" s="163" t="n"/>
      <c r="H3" s="163" t="n"/>
      <c r="I3" s="164" t="n"/>
      <c r="J3" s="30" t="n"/>
    </row>
    <row r="4">
      <c r="A4" s="30" t="n"/>
      <c r="B4" s="71" t="n"/>
      <c r="C4" s="30" t="n"/>
      <c r="D4" s="30" t="n"/>
      <c r="E4" s="30" t="n"/>
      <c r="F4" s="72" t="n"/>
      <c r="G4" s="73" t="n"/>
      <c r="H4" s="74" t="n"/>
      <c r="I4" s="74" t="n"/>
      <c r="J4" s="30" t="n"/>
    </row>
    <row r="5">
      <c r="A5" s="120" t="inlineStr">
        <is>
          <t>MATRIZ DE PRUEBA</t>
        </is>
      </c>
      <c r="B5" s="158" t="n"/>
      <c r="C5" s="158" t="n"/>
      <c r="D5" s="158" t="n"/>
      <c r="E5" s="158" t="n"/>
      <c r="F5" s="158" t="n"/>
      <c r="G5" s="158" t="n"/>
      <c r="H5" s="158" t="n"/>
      <c r="I5" s="158" t="n"/>
      <c r="J5" s="75" t="n"/>
    </row>
    <row r="6">
      <c r="A6" s="122" t="n"/>
      <c r="B6" s="163" t="n"/>
      <c r="C6" s="163" t="n"/>
      <c r="D6" s="163" t="n"/>
      <c r="E6" s="163" t="n"/>
      <c r="F6" s="163" t="n"/>
      <c r="G6" s="163" t="n"/>
      <c r="H6" s="163" t="n"/>
      <c r="I6" s="163" t="n"/>
      <c r="J6" s="75" t="n"/>
    </row>
    <row r="7" ht="39.6" customHeight="1">
      <c r="A7" s="76" t="inlineStr">
        <is>
          <t>ID del Requerimiento</t>
        </is>
      </c>
      <c r="B7" s="92" t="n"/>
      <c r="C7" s="77" t="inlineStr">
        <is>
          <t>Elaborado por:</t>
        </is>
      </c>
      <c r="D7" s="125" t="n"/>
      <c r="E7" s="165" t="n"/>
      <c r="F7" s="156" t="n"/>
      <c r="G7" s="76" t="inlineStr">
        <is>
          <t>Fecha de Elaboración:</t>
        </is>
      </c>
      <c r="H7" s="166" t="n"/>
      <c r="I7" s="156" t="n"/>
      <c r="J7" s="75" t="n"/>
    </row>
    <row r="8" ht="13.8" customHeight="1" thickBot="1"/>
    <row r="9" ht="70.2" customFormat="1" customHeight="1" s="98">
      <c r="A9" s="97" t="inlineStr">
        <is>
          <t>Proceso o Funcionalidad</t>
        </is>
      </c>
      <c r="B9" s="95" t="inlineStr">
        <is>
          <t>ID del caso de prueba</t>
        </is>
      </c>
      <c r="C9" s="95" t="inlineStr">
        <is>
          <t>Etapa</t>
        </is>
      </c>
      <c r="D9" s="95" t="inlineStr">
        <is>
          <t>Descripción del caso de prueba</t>
        </is>
      </c>
      <c r="E9" s="95" t="inlineStr">
        <is>
          <t>Descripción de los Pasos de prueba</t>
        </is>
      </c>
      <c r="F9" s="95" t="inlineStr">
        <is>
          <t>Elementos a Probar</t>
        </is>
      </c>
      <c r="G9" s="95" t="inlineStr">
        <is>
          <t>Resultados Esperados</t>
        </is>
      </c>
      <c r="H9" s="95" t="inlineStr">
        <is>
          <t>Prueba</t>
        </is>
      </c>
      <c r="I9" s="96" t="inlineStr">
        <is>
          <t>Observaciones</t>
        </is>
      </c>
    </row>
    <row r="10">
      <c r="A10" s="167" t="inlineStr">
        <is>
          <t>Crear Cliente</t>
        </is>
      </c>
      <c r="B10" s="168" t="inlineStr">
        <is>
          <t>TC_CC_001</t>
        </is>
      </c>
      <c r="C10" s="168" t="inlineStr">
        <is>
          <t>Funcionalidad</t>
        </is>
      </c>
      <c r="D10" s="167" t="inlineStr">
        <is>
          <t>Crear un cliente de tipo Natural con datos válidos.</t>
        </is>
      </c>
      <c r="E10" s="168" t="inlineStr"/>
      <c r="F10" s="168" t="inlineStr">
        <is>
          <t>Formulario de creación de cliente, validaciones de campos, mensaje de éxito.</t>
        </is>
      </c>
      <c r="G10" s="168" t="inlineStr">
        <is>
          <t>1. El sistema muestra el formulario de creación de cliente.
2. El formulario se muestra correctamente.
3. El campo 'Tipo de Cliente' se establece en 'Natural'.
4. El Nombre se guarda correctamente.
5. El Número de identificación se guarda correctamente.
6. El Correo electrónico se guarda correctamente.
7. El Número de contacto se guarda correctamente.
8. La Dirección se guarda correctamente.
9. El sistema muestra el mensaje 'Cliente creado correctamente.'</t>
        </is>
      </c>
      <c r="H10" s="168" t="inlineStr">
        <is>
          <t>Positiva</t>
        </is>
      </c>
      <c r="I10" s="169" t="inlineStr">
        <is>
          <t>Verificar que el cliente se haya creado correctamente en la base de datos.</t>
        </is>
      </c>
    </row>
    <row r="11">
      <c r="A11" s="167" t="inlineStr"/>
      <c r="B11" s="168" t="inlineStr"/>
      <c r="C11" s="168" t="inlineStr"/>
      <c r="D11" s="167" t="inlineStr"/>
      <c r="E11" s="168" t="inlineStr"/>
      <c r="F11" s="168" t="inlineStr">
        <is>
          <t>Formulario de creación de cliente, validaciones de campos, mensaje de éxito.</t>
        </is>
      </c>
      <c r="G11" s="168" t="inlineStr">
        <is>
          <t>1. El sistema muestra el formulario de creación de cliente.
2. El formulario se muestra correctamente.
3. El campo 'Tipo de Cliente' se establece en 'Jurídico'.
4. La Razón Social se guarda correctamente.
5. El Número de identificación se guarda correctamente.
6. El Correo electrónico se guarda correctamente.
7. El Número de contacto se guarda correctamente.
8. La Dirección se guarda correctamente.
9. El sistema muestra el mensaje 'Cliente creado correctamente.'</t>
        </is>
      </c>
      <c r="H11" s="168" t="inlineStr">
        <is>
          <t>Positiva</t>
        </is>
      </c>
      <c r="I11" s="169" t="inlineStr">
        <is>
          <t>Verificar que el cliente se haya creado correctamente en la base de datos.</t>
        </is>
      </c>
    </row>
    <row r="12">
      <c r="A12" s="167" t="inlineStr">
        <is>
          <t>Crear Cliente</t>
        </is>
      </c>
      <c r="B12" s="168" t="inlineStr">
        <is>
          <t>TC_CC_003</t>
        </is>
      </c>
      <c r="C12" s="168" t="inlineStr">
        <is>
          <t>Validación</t>
        </is>
      </c>
      <c r="D12" s="167" t="inlineStr">
        <is>
          <t>Intentar crear un cliente sin ingresar el Nombre/Razón Social.</t>
        </is>
      </c>
      <c r="E12" s="168" t="inlineStr">
        <is>
          <t>1. Navegar al módulo de Gestión de Clientes.
2. Hacer clic en el botón 'Crear Cliente'.
3. Seleccionar un Tipo de Cliente.
4. Dejar el campo Nombre/Razón Social vacío.
5. Ingresar los demás campos obligatorios.
6. Hacer clic en el botón 'Guardar'.</t>
        </is>
      </c>
      <c r="F12" s="168" t="inlineStr">
        <is>
          <t>Validación de campos obligatorios.</t>
        </is>
      </c>
      <c r="G12" s="168" t="inlineStr">
        <is>
          <t>1. El sistema muestra el formulario de creación de cliente.
2. El formulario se muestra correctamente.
3. Se muestra un mensaje de error indicando que el campo Nombre/Razón Social es obligatorio.</t>
        </is>
      </c>
      <c r="H12" s="168" t="inlineStr">
        <is>
          <t>Negativa</t>
        </is>
      </c>
      <c r="I12" s="169" t="inlineStr">
        <is>
          <t>Verificar que no se permita guardar el cliente sin el Nombre/Razón Social.</t>
        </is>
      </c>
    </row>
    <row r="13">
      <c r="A13" s="167" t="inlineStr">
        <is>
          <t>Crear Cliente</t>
        </is>
      </c>
      <c r="B13" s="168" t="inlineStr">
        <is>
          <t>TC_CC_004</t>
        </is>
      </c>
      <c r="C13" s="168" t="inlineStr">
        <is>
          <t>Validación</t>
        </is>
      </c>
      <c r="D13" s="167" t="inlineStr">
        <is>
          <t>Intentar crear un cliente con un Número de identificación duplicado.</t>
        </is>
      </c>
      <c r="E13" s="168" t="inlineStr">
        <is>
          <t>1. Navegar al módulo de Gestión de Clientes.
2. Hacer clic en el botón 'Crear Cliente'.
3. Ingresar todos los campos obligatorios.
4. Ingresar un Número de identificación que ya existe en otro cliente.
5. Hacer clic en el botón 'Guardar'.</t>
        </is>
      </c>
      <c r="F13" s="168" t="inlineStr">
        <is>
          <t>Validación de unicidad del Número de identificación.</t>
        </is>
      </c>
      <c r="G13" s="168" t="inlineStr">
        <is>
          <t>1. El sistema muestra el formulario de creación de cliente.
2. El formulario se muestra correctamente.
3. Se muestra un mensaje de error indicando que el Número de identificación ya existe.</t>
        </is>
      </c>
      <c r="H13" s="168" t="inlineStr">
        <is>
          <t>Negativa</t>
        </is>
      </c>
      <c r="I13" s="169" t="inlineStr">
        <is>
          <t>Verificar que no se permita guardar el cliente con un Número de identificación duplicado.</t>
        </is>
      </c>
    </row>
    <row r="14">
      <c r="A14" s="167" t="inlineStr">
        <is>
          <t>Crear Cliente</t>
        </is>
      </c>
      <c r="B14" s="168" t="inlineStr">
        <is>
          <t>TC_CC_005</t>
        </is>
      </c>
      <c r="C14" s="168" t="inlineStr">
        <is>
          <t>Validación</t>
        </is>
      </c>
      <c r="D14" s="167" t="inlineStr">
        <is>
          <t>Intentar crear un cliente con un formato de Correo electrónico inválido.</t>
        </is>
      </c>
      <c r="E14" s="168" t="inlineStr">
        <is>
          <t>1. Navegar al módulo de Gestión de Clientes.
2. Hacer clic en el botón 'Crear Cliente'.
3. Ingresar todos los campos obligatorios.
4. Ingresar un Correo electrónico con formato inválido (ej: 'correo.mal').
5. Hacer clic en el botón 'Guardar'.</t>
        </is>
      </c>
      <c r="F14" s="168" t="inlineStr">
        <is>
          <t>Validación del formato del Correo electrónico.</t>
        </is>
      </c>
      <c r="G14" s="168" t="inlineStr">
        <is>
          <t>1. El sistema muestra el formulario de creación de cliente.
2. El formulario se muestra correctamente.
3. Se muestra un mensaje de error indicando que el formato del Correo electrónico es inválido.</t>
        </is>
      </c>
      <c r="H14" s="168" t="inlineStr">
        <is>
          <t>Negativa</t>
        </is>
      </c>
      <c r="I14" s="169" t="inlineStr">
        <is>
          <t>Verificar que no se permita guardar el cliente con un Correo electrónico inválido.</t>
        </is>
      </c>
    </row>
    <row r="15">
      <c r="A15" s="167" t="inlineStr">
        <is>
          <t>Consultar Clientes</t>
        </is>
      </c>
      <c r="B15" s="168" t="inlineStr">
        <is>
          <t>TC_CO_001</t>
        </is>
      </c>
      <c r="C15" s="168" t="inlineStr">
        <is>
          <t>Funcionalidad</t>
        </is>
      </c>
      <c r="D15" s="167" t="inlineStr">
        <is>
          <t>Visualizar el listado de clientes registrados.</t>
        </is>
      </c>
      <c r="E15" s="168" t="inlineStr">
        <is>
          <t>1. Navegar al módulo de Gestión de Clientes.
2. Verificar que se muestre el listado de clientes.</t>
        </is>
      </c>
      <c r="F15" s="168" t="inlineStr">
        <is>
          <t>Listado de clientes, columnas mostradas.</t>
        </is>
      </c>
      <c r="G15" s="168" t="inlineStr">
        <is>
          <t>1. El sistema muestra el listado de clientes.
2. El listado muestra las columnas: ID interno, Nombre / Razón Social, Tipo de cliente, Identificación, Estado (Activo / Inactivo).</t>
        </is>
      </c>
      <c r="H15" s="168" t="inlineStr">
        <is>
          <t>Positiva</t>
        </is>
      </c>
      <c r="I15" s="169" t="inlineStr">
        <is>
          <t>Verificar que todos los clientes registrados se muestren en el listado.</t>
        </is>
      </c>
    </row>
    <row r="16">
      <c r="A16" s="167" t="inlineStr">
        <is>
          <t>Consultar Clientes</t>
        </is>
      </c>
      <c r="B16" s="168" t="inlineStr">
        <is>
          <t>TC_CO_002</t>
        </is>
      </c>
      <c r="C16" s="168" t="inlineStr">
        <is>
          <t>Funcionalidad</t>
        </is>
      </c>
      <c r="D16" s="167" t="inlineStr">
        <is>
          <t>Buscar clientes por Nombre.</t>
        </is>
      </c>
      <c r="E16" s="168" t="inlineStr">
        <is>
          <t>1. Navegar al módulo de Gestión de Clientes.
2. Ingresar un Nombre en el campo de búsqueda.
3. Hacer clic en el botón 'Buscar'.</t>
        </is>
      </c>
      <c r="F16" s="168" t="inlineStr">
        <is>
          <t>Funcionalidad de búsqueda por Nombre.</t>
        </is>
      </c>
      <c r="G16" s="168" t="inlineStr">
        <is>
          <t>1. El sistema muestra el listado de clientes.
2. El listado muestra solo los clientes cuyo Nombre coincide con el término de búsqueda.</t>
        </is>
      </c>
      <c r="H16" s="168" t="inlineStr">
        <is>
          <t>Positiva</t>
        </is>
      </c>
      <c r="I16" s="169" t="inlineStr">
        <is>
          <t>Verificar que la búsqueda funcione correctamente.</t>
        </is>
      </c>
    </row>
    <row r="17">
      <c r="A17" s="167" t="inlineStr">
        <is>
          <t>Consultar Clientes</t>
        </is>
      </c>
      <c r="B17" s="168" t="inlineStr">
        <is>
          <t>TC_CO_003</t>
        </is>
      </c>
      <c r="C17" s="168" t="inlineStr">
        <is>
          <t>Funcionalidad</t>
        </is>
      </c>
      <c r="D17" s="168" t="inlineStr">
        <is>
          <t>Filtrar clientes por Estado (Activo).</t>
        </is>
      </c>
      <c r="E17" s="168" t="inlineStr">
        <is>
          <t>1. Navegar al módulo de Gestión de Clientes.
2. Seleccionar 'Activo' en el filtro de Estado.
3. Verificar que se muestren solo los clientes con estado 'Activo'.</t>
        </is>
      </c>
      <c r="F17" s="168" t="inlineStr">
        <is>
          <t>Funcionalidad de filtrado por Estado.</t>
        </is>
      </c>
      <c r="G17" s="168" t="inlineStr">
        <is>
          <t>1. El sistema muestra el listado de clientes.
2. El listado muestra solo los clientes con estado 'Activo'.</t>
        </is>
      </c>
      <c r="H17" s="168" t="inlineStr">
        <is>
          <t>Positiva</t>
        </is>
      </c>
      <c r="I17" s="169" t="inlineStr">
        <is>
          <t>Verificar que el filtro funcione correctamente.</t>
        </is>
      </c>
    </row>
    <row r="18">
      <c r="A18" s="167" t="inlineStr">
        <is>
          <t>Consultar Clientes</t>
        </is>
      </c>
      <c r="B18" s="168" t="inlineStr">
        <is>
          <t>TC_CO_004</t>
        </is>
      </c>
      <c r="C18" s="168" t="inlineStr">
        <is>
          <t>Funcionalidad</t>
        </is>
      </c>
      <c r="D18" s="168" t="inlineStr">
        <is>
          <t>Ordenar clientes por Nombre.</t>
        </is>
      </c>
      <c r="E18" s="168" t="inlineStr">
        <is>
          <t>1. Navegar al módulo de Gestión de Clientes.
2. Hacer clic en el encabezado de la columna 'Nombre'.
3. Verificar que los clientes se ordenen alfabéticamente por Nombre.</t>
        </is>
      </c>
      <c r="F18" s="168" t="inlineStr">
        <is>
          <t>Funcionalidad de ordenamiento de columnas.</t>
        </is>
      </c>
      <c r="G18" s="168" t="inlineStr">
        <is>
          <t>1. El sistema muestra el listado de clientes.
2. El listado se ordena alfabéticamente por Nombre.</t>
        </is>
      </c>
      <c r="H18" s="168" t="inlineStr">
        <is>
          <t>Positiva</t>
        </is>
      </c>
      <c r="I18" s="169" t="inlineStr">
        <is>
          <t>Verificar que el ordenamiento funcione correctamente.</t>
        </is>
      </c>
    </row>
    <row r="19">
      <c r="A19" s="167" t="inlineStr">
        <is>
          <t>Consultar Clientes</t>
        </is>
      </c>
      <c r="B19" s="168" t="inlineStr">
        <is>
          <t>TC_CO_005</t>
        </is>
      </c>
      <c r="C19" s="168" t="inlineStr">
        <is>
          <t>Funcionalidad</t>
        </is>
      </c>
      <c r="D19" s="168" t="inlineStr">
        <is>
          <t>Verificar mensaje cuando no existen clientes registrados.</t>
        </is>
      </c>
      <c r="E19" s="168" t="inlineStr">
        <is>
          <t>1. Navegar al módulo de Gestión de Clientes.
2. Verificar que no existan clientes registrados en la base de datos.
3. Verificar el mensaje mostrado.</t>
        </is>
      </c>
      <c r="F19" s="168" t="inlineStr">
        <is>
          <t>Mensaje de no existen registros.</t>
        </is>
      </c>
      <c r="G19" s="168" t="inlineStr">
        <is>
          <t>1. El sistema muestra el mensaje: 'No se encontraron clientes registrados.'</t>
        </is>
      </c>
      <c r="H19" s="168" t="inlineStr">
        <is>
          <t>Positiva</t>
        </is>
      </c>
      <c r="I19" s="169" t="inlineStr">
        <is>
          <t>Verificar que el mensaje se muestre correctamente.</t>
        </is>
      </c>
    </row>
    <row r="20">
      <c r="A20" s="167" t="inlineStr">
        <is>
          <t>Actualizar Cliente</t>
        </is>
      </c>
      <c r="B20" s="168" t="inlineStr">
        <is>
          <t>TC_AC_001</t>
        </is>
      </c>
      <c r="C20" s="168" t="inlineStr">
        <is>
          <t>Funcionalidad</t>
        </is>
      </c>
      <c r="D20" s="168" t="inlineStr">
        <is>
          <t>Actualizar la información de un cliente existente con datos válidos.</t>
        </is>
      </c>
      <c r="E20" s="168" t="inlineStr">
        <is>
          <t>1. Navegar al módulo de Gestión de Clientes.
2. Seleccionar un cliente de la lista.
3. Modificar los campos editables.
4. Hacer clic en el botón 'Guardar'.</t>
        </is>
      </c>
      <c r="F20" s="168" t="inlineStr">
        <is>
          <t>Formulario de edición de cliente, validaciones de campos, mensaje de éxito.</t>
        </is>
      </c>
      <c r="G20" s="168" t="inlineStr">
        <is>
          <t>1. El sistema muestra el formulario de edición del cliente.
2. Los campos se modifican correctamente.
3. El sistema muestra el mensaje 'Cliente actualizado correctamente.'</t>
        </is>
      </c>
      <c r="H20" s="168" t="inlineStr">
        <is>
          <t>Positiva</t>
        </is>
      </c>
      <c r="I20" s="169" t="inlineStr">
        <is>
          <t>Verificar que los cambios se hayan guardado correctamente en la base de datos.</t>
        </is>
      </c>
    </row>
    <row r="21">
      <c r="A21" s="167" t="inlineStr">
        <is>
          <t>Actualizar Cliente</t>
        </is>
      </c>
      <c r="B21" s="168" t="inlineStr">
        <is>
          <t>TC_AC_002</t>
        </is>
      </c>
      <c r="C21" s="168" t="inlineStr">
        <is>
          <t>Validación</t>
        </is>
      </c>
      <c r="D21" s="168" t="inlineStr">
        <is>
          <t>Intentar actualizar un cliente con un Número de identificación duplicado.</t>
        </is>
      </c>
      <c r="E21" s="168" t="inlineStr">
        <is>
          <t>1. Navegar al módulo de Gestión de Clientes.
2. Seleccionar un cliente de la lista.
3. Modificar el Número de identificación por uno que ya existe en otro cliente.
4. Hacer clic en el botón 'Guardar'.</t>
        </is>
      </c>
      <c r="F21" s="168" t="inlineStr">
        <is>
          <t>Validación de unicidad del Número de identificación.</t>
        </is>
      </c>
      <c r="G21" s="168" t="inlineStr">
        <is>
          <t>1. El sistema muestra el formulario de edición del cliente.
2. Se muestra un mensaje de error indicando que el Número de identificación ya existe.</t>
        </is>
      </c>
      <c r="H21" s="168" t="inlineStr">
        <is>
          <t>Negativa</t>
        </is>
      </c>
      <c r="I21" s="169" t="inlineStr">
        <is>
          <t>Verificar que no se permita guardar el cliente con un Número de identificación duplicado.</t>
        </is>
      </c>
    </row>
    <row r="22">
      <c r="A22" s="167" t="inlineStr">
        <is>
          <t>Actualizar Cliente</t>
        </is>
      </c>
      <c r="B22" s="168" t="inlineStr">
        <is>
          <t>TC_AC_003</t>
        </is>
      </c>
      <c r="C22" s="168" t="inlineStr">
        <is>
          <t>Validación</t>
        </is>
      </c>
      <c r="D22" s="168" t="inlineStr">
        <is>
          <t>Intentar actualizar un cliente con un formato de Correo electrónico inválido.</t>
        </is>
      </c>
      <c r="E22" s="168" t="inlineStr">
        <is>
          <t>1. Navegar al módulo de Gestión de Clientes.
2. Seleccionar un cliente de la lista.
3. Modificar el Correo electrónico por uno con formato inválido (ej: 'correo.mal').
4. Hacer clic en el botón 'Guardar'.</t>
        </is>
      </c>
      <c r="F22" s="168" t="inlineStr">
        <is>
          <t>Validación del formato del Correo electrónico.</t>
        </is>
      </c>
      <c r="G22" s="168" t="inlineStr">
        <is>
          <t>1. El sistema muestra el formulario de edición del cliente.
2. Se muestra un mensaje de error indicando que el formato del Correo electrónico es inválido.</t>
        </is>
      </c>
      <c r="H22" s="168" t="inlineStr">
        <is>
          <t>Negativa</t>
        </is>
      </c>
      <c r="I22" s="169" t="inlineStr">
        <is>
          <t>Verificar que no se permita guardar el cliente con un Correo electrónico inválido.</t>
        </is>
      </c>
    </row>
    <row r="23">
      <c r="A23" s="167" t="inlineStr">
        <is>
          <t>Eliminar Cliente</t>
        </is>
      </c>
      <c r="B23" s="168" t="inlineStr">
        <is>
          <t>TC_EC_001</t>
        </is>
      </c>
      <c r="C23" s="168" t="inlineStr">
        <is>
          <t>Funcionalidad</t>
        </is>
      </c>
      <c r="D23" s="168" t="inlineStr">
        <is>
          <t>Eliminar un cliente que no tiene información relacionada.</t>
        </is>
      </c>
      <c r="E23" s="168" t="inlineStr">
        <is>
          <t>1. Navegar al módulo de Gestión de Clientes.
2. Seleccionar un cliente que no tenga envíos, facturas o contratos relacionados.
3. Hacer clic en el botón 'Eliminar'.
4. Confirmar la eliminación.</t>
        </is>
      </c>
      <c r="F23" s="168" t="inlineStr">
        <is>
          <t>Funcionalidad de eliminación de cliente, mensaje de confirmación.</t>
        </is>
      </c>
      <c r="G23" s="168" t="inlineStr">
        <is>
          <t>1. El sistema muestra un mensaje de confirmación.
2. El sistema elimina el cliente.
3. El sistema muestra el mensaje 'Cliente eliminado correctamente.'</t>
        </is>
      </c>
      <c r="H23" s="168" t="inlineStr">
        <is>
          <t>Positiva</t>
        </is>
      </c>
      <c r="I23" s="170" t="inlineStr">
        <is>
          <t>Verificar que el cliente se haya eliminado correctamente de la base de datos.</t>
        </is>
      </c>
    </row>
    <row r="24">
      <c r="A24" s="167" t="inlineStr">
        <is>
          <t>Eliminar Cliente</t>
        </is>
      </c>
      <c r="B24" s="168" t="inlineStr">
        <is>
          <t>TC_EC_002</t>
        </is>
      </c>
      <c r="C24" s="168" t="inlineStr">
        <is>
          <t>Validación</t>
        </is>
      </c>
      <c r="D24" s="168" t="inlineStr">
        <is>
          <t>Intentar eliminar un cliente que tiene información relacionada (envíos, facturas, contratos).</t>
        </is>
      </c>
      <c r="E24" s="168" t="inlineStr">
        <is>
          <t>1. Navegar al módulo de Gestión de Clientes.
2. Seleccionar un cliente que tenga envíos, facturas o contratos relacionados.
3. Hacer clic en el botón 'Eliminar'.
4. Confirmar la eliminación.</t>
        </is>
      </c>
      <c r="F24" s="168" t="inlineStr">
        <is>
          <t>Validación de relaciones con otras tablas, mensaje de error.</t>
        </is>
      </c>
      <c r="G24" s="168" t="inlineStr">
        <is>
          <t>1. El sistema muestra un mensaje de confirmación.
2. El sistema muestra el mensaje 'El cliente no puede ser eliminado porque tiene información asociada.'</t>
        </is>
      </c>
      <c r="H24" s="168" t="inlineStr">
        <is>
          <t>Negativa</t>
        </is>
      </c>
      <c r="I24" s="170" t="inlineStr">
        <is>
          <t>Verificar que no se permita eliminar el cliente si tiene información relacionada.</t>
        </is>
      </c>
    </row>
    <row r="25">
      <c r="A25" s="167" t="inlineStr">
        <is>
          <t>Auditoría</t>
        </is>
      </c>
      <c r="B25" s="168" t="inlineStr">
        <is>
          <t>TC_AU_001</t>
        </is>
      </c>
      <c r="C25" s="168" t="inlineStr">
        <is>
          <t>Seguridad</t>
        </is>
      </c>
      <c r="D25" s="168" t="inlineStr">
        <is>
          <t>Verificar que se registre la creación de un cliente en la tabla de auditoría.</t>
        </is>
      </c>
      <c r="E25" s="168" t="inlineStr">
        <is>
          <t>1. Crear un nuevo cliente.
2. Verificar la tabla de auditoría.</t>
        </is>
      </c>
      <c r="F25" s="168" t="inlineStr">
        <is>
          <t>Tabla de auditoría, registro de creación de cliente.</t>
        </is>
      </c>
      <c r="G25" s="168" t="inlineStr">
        <is>
          <t>1. Se crea el cliente correctamente.
2. La tabla de auditoría contiene un registro con: Usuario, Fecha y hora, Acción ejecutada (Crear), ID del cliente afectado.</t>
        </is>
      </c>
      <c r="H25" s="168" t="inlineStr">
        <is>
          <t>Positiva</t>
        </is>
      </c>
      <c r="I25" s="170" t="inlineStr">
        <is>
          <t>Verificar que la información del registro de auditoría sea correcta.</t>
        </is>
      </c>
    </row>
    <row r="26">
      <c r="A26" s="167" t="inlineStr">
        <is>
          <t>Auditoría</t>
        </is>
      </c>
      <c r="B26" s="168" t="inlineStr">
        <is>
          <t>TC_AU_002</t>
        </is>
      </c>
      <c r="C26" s="168" t="inlineStr">
        <is>
          <t>Seguridad</t>
        </is>
      </c>
      <c r="D26" s="168" t="inlineStr">
        <is>
          <t>Verificar que se registre la actualización de un cliente en la tabla de auditoría.</t>
        </is>
      </c>
      <c r="E26" s="168" t="inlineStr">
        <is>
          <t>1. Actualizar un cliente existente.
2. Verificar la tabla de auditoría.</t>
        </is>
      </c>
      <c r="F26" s="168" t="inlineStr">
        <is>
          <t>Tabla de auditoría, registro de actualización de cliente.</t>
        </is>
      </c>
      <c r="G26" s="168" t="inlineStr">
        <is>
          <t>1. Se actualiza el cliente correctamente.
2. La tabla de auditoría contiene un registro con: Usuario, Fecha y hora, Acción ejecutada (Editar), ID del cliente afectado.</t>
        </is>
      </c>
      <c r="H26" s="168" t="inlineStr">
        <is>
          <t>Positiva</t>
        </is>
      </c>
      <c r="I26" s="170" t="inlineStr">
        <is>
          <t>Verificar que la información del registro de auditoría sea correcta.</t>
        </is>
      </c>
    </row>
    <row r="27">
      <c r="A27" s="167" t="inlineStr">
        <is>
          <t>Auditoría</t>
        </is>
      </c>
      <c r="B27" s="168" t="inlineStr">
        <is>
          <t>TC_AU_003</t>
        </is>
      </c>
      <c r="C27" s="168" t="inlineStr">
        <is>
          <t>Seguridad</t>
        </is>
      </c>
      <c r="D27" s="168" t="inlineStr">
        <is>
          <t>Verificar que se registre la eliminación de un cliente en la tabla de auditoría.</t>
        </is>
      </c>
      <c r="E27" s="168" t="inlineStr">
        <is>
          <t>1. Eliminar un cliente existente.
2. Verificar la tabla de auditoría.</t>
        </is>
      </c>
      <c r="F27" s="168" t="inlineStr">
        <is>
          <t>Tabla de auditoría, registro de eliminación de cliente.</t>
        </is>
      </c>
      <c r="G27" s="168" t="inlineStr">
        <is>
          <t>1. Se elimina el cliente correctamente.
2. La tabla de auditoría contiene un registro con: Usuario, Fecha y hora, Acción ejecutada (Eliminar), ID del cliente afectado.</t>
        </is>
      </c>
      <c r="H27" s="168" t="inlineStr">
        <is>
          <t>Positiva</t>
        </is>
      </c>
      <c r="I27" s="170" t="inlineStr">
        <is>
          <t>Verificar que la información del registro de auditoría sea correcta.</t>
        </is>
      </c>
    </row>
    <row r="28">
      <c r="A28" s="167" t="inlineStr">
        <is>
          <t>Seguridad</t>
        </is>
      </c>
      <c r="B28" s="168" t="inlineStr">
        <is>
          <t>TC_SE_001</t>
        </is>
      </c>
      <c r="C28" s="168" t="inlineStr">
        <is>
          <t>Seguridad</t>
        </is>
      </c>
      <c r="D28" s="168" t="inlineStr">
        <is>
          <t>Verificar que solo los roles autorizados puedan crear clientes.</t>
        </is>
      </c>
      <c r="E28" s="168" t="inlineStr">
        <is>
          <t>1. Intentar crear un cliente con un usuario que no tiene rol de Administrador o Comercial.
2. Intentar crear un cliente con un usuario con rol de Administrador.
3. Intentar crear un cliente con un usuario con rol de Comercial.</t>
        </is>
      </c>
      <c r="F28" s="168" t="inlineStr">
        <is>
          <t>Control de acceso basado en roles.</t>
        </is>
      </c>
      <c r="G28" s="168" t="inlineStr">
        <is>
          <t>1. El sistema no permite crear el cliente y muestra un mensaje de error de acceso denegado.
2. El sistema permite crear el cliente.
3. El sistema permite crear el cliente.</t>
        </is>
      </c>
      <c r="H28" s="168" t="inlineStr">
        <is>
          <t>Positiva</t>
        </is>
      </c>
      <c r="I28" s="170" t="inlineStr">
        <is>
          <t>Verificar que el control de acceso funcione correctamente.</t>
        </is>
      </c>
    </row>
    <row r="29">
      <c r="A29" s="167" t="inlineStr">
        <is>
          <t>Seguridad</t>
        </is>
      </c>
      <c r="B29" s="168" t="inlineStr">
        <is>
          <t>TC_SE_002</t>
        </is>
      </c>
      <c r="C29" s="168" t="inlineStr">
        <is>
          <t>Seguridad</t>
        </is>
      </c>
      <c r="D29" s="168" t="inlineStr">
        <is>
          <t>Verificar que el módulo esté protegido bajo autenticación activa.</t>
        </is>
      </c>
      <c r="E29" s="168" t="inlineStr">
        <is>
          <t>1. Intentar acceder al módulo de Gestión de Clientes sin estar autenticado.
2. Autenticarse con un usuario válido.
3. Acceder al módulo de Gestión de Clientes.</t>
        </is>
      </c>
      <c r="F29" s="168" t="inlineStr">
        <is>
          <t>Autenticación, control de acceso.</t>
        </is>
      </c>
      <c r="G29" s="168" t="inlineStr">
        <is>
          <t>1. El sistema redirige a la página de inicio de sesión.
2. El sistema permite el acceso al módulo de Gestión de Clientes.</t>
        </is>
      </c>
      <c r="H29" s="168" t="inlineStr">
        <is>
          <t>Positiva</t>
        </is>
      </c>
      <c r="I29" s="170" t="inlineStr">
        <is>
          <t>Verificar que la autenticación sea requerida para acceder al módulo.</t>
        </is>
      </c>
    </row>
    <row r="30">
      <c r="A30" s="167" t="inlineStr">
        <is>
          <t>Rendimiento</t>
        </is>
      </c>
      <c r="B30" s="168" t="inlineStr">
        <is>
          <t>TC_RE_001</t>
        </is>
      </c>
      <c r="C30" s="168" t="inlineStr">
        <is>
          <t>Rendimiento</t>
        </is>
      </c>
      <c r="D30" s="168" t="inlineStr">
        <is>
          <t>Verificar que la consulta del listado responda en menos de 2 segundos con 10.000 clientes.</t>
        </is>
      </c>
      <c r="E30" s="168" t="inlineStr">
        <is>
          <t>1. Crear 10.000 clientes en la base de datos.
2. Navegar al módulo de Gestión de Clientes.
3. Medir el tiempo de respuesta del listado.</t>
        </is>
      </c>
      <c r="F30" s="168" t="inlineStr">
        <is>
          <t>Tiempo de respuesta del listado de clientes.</t>
        </is>
      </c>
      <c r="G30" s="168" t="inlineStr">
        <is>
          <t>1. El listado de clientes se muestra en menos de 2 segundos.</t>
        </is>
      </c>
      <c r="H30" s="168" t="inlineStr">
        <is>
          <t>Positiva</t>
        </is>
      </c>
      <c r="I30" s="170" t="inlineStr">
        <is>
          <t>Utilizar herramientas de medición de rendimiento para obtener resultados precisos.</t>
        </is>
      </c>
    </row>
    <row r="31">
      <c r="A31" s="170" t="inlineStr">
        <is>
          <t>Seguridad</t>
        </is>
      </c>
      <c r="B31" s="170" t="inlineStr">
        <is>
          <t>TC_SE_003</t>
        </is>
      </c>
      <c r="C31" s="170" t="inlineStr">
        <is>
          <t>Seguridad</t>
        </is>
      </c>
      <c r="D31" s="170" t="inlineStr">
        <is>
          <t>Verificar que los datos sensibles se transmitan mediante HTTPS.</t>
        </is>
      </c>
      <c r="E31" s="170" t="inlineStr">
        <is>
          <t>1. Acceder al módulo de Gestión de Clientes.
2. Capturar el tráfico de red.
3. Analizar el tráfico para verificar que se utilice HTTPS.</t>
        </is>
      </c>
      <c r="F31" s="170" t="inlineStr">
        <is>
          <t>Protocolo de comunicación, seguridad de la transmisión de datos.</t>
        </is>
      </c>
      <c r="G31" s="170" t="inlineStr">
        <is>
          <t>1. La comunicación se realiza mediante HTTPS.</t>
        </is>
      </c>
      <c r="H31" s="170" t="inlineStr">
        <is>
          <t>Positiva</t>
        </is>
      </c>
      <c r="I31" s="170" t="inlineStr">
        <is>
          <t>Utilizar herramientas de análisis de tráfico de red (ej: Wireshark) para verificar el protocolo.</t>
        </is>
      </c>
    </row>
    <row r="32">
      <c r="A32" s="170" t="inlineStr">
        <is>
          <t>Usabilidad</t>
        </is>
      </c>
      <c r="B32" s="170" t="inlineStr">
        <is>
          <t>TC_US_001</t>
        </is>
      </c>
      <c r="C32" s="170" t="inlineStr">
        <is>
          <t>Usabilidad</t>
        </is>
      </c>
      <c r="D32" s="170" t="inlineStr">
        <is>
          <t>Verificar que el formulario sea intuitivo y accesible.</t>
        </is>
      </c>
      <c r="E32" s="170" t="inlineStr">
        <is>
          <t>1. Navegar al módulo de Gestión de Clientes.
2. Evaluar la disposición de los campos.
3. Evaluar la claridad de las etiquetas.
4. Evaluar la accesibilidad del formulario (ej: navegación con teclado).</t>
        </is>
      </c>
      <c r="F32" s="170" t="inlineStr">
        <is>
          <t>Diseño del formulario, etiquetas, accesibilidad.</t>
        </is>
      </c>
      <c r="G32" s="170" t="inlineStr">
        <is>
          <t>1. El formulario es intuitivo y fácil de usar.
2. Las etiquetas son claras y descriptivas.
3. El formulario es accesible mediante teclado.</t>
        </is>
      </c>
      <c r="H32" s="170" t="inlineStr">
        <is>
          <t>Positiva</t>
        </is>
      </c>
      <c r="I32" s="170" t="inlineStr">
        <is>
          <t>Realizar pruebas con usuarios reales para obtener feedback sobre la usabilidad.</t>
        </is>
      </c>
    </row>
    <row r="33">
      <c r="A33" s="170" t="inlineStr">
        <is>
          <t>Disponibilidad</t>
        </is>
      </c>
      <c r="B33" s="170" t="inlineStr">
        <is>
          <t>TC_DI_001</t>
        </is>
      </c>
      <c r="C33" s="170" t="inlineStr">
        <is>
          <t>Disponibilidad</t>
        </is>
      </c>
      <c r="D33" s="170" t="inlineStr">
        <is>
          <t>Verificar que el módulo esté disponible el 99.5% del tiempo.</t>
        </is>
      </c>
      <c r="E33" s="170" t="inlineStr">
        <is>
          <t>1. Monitorear la disponibilidad del módulo durante un período de tiempo prolongado (ej: 1 mes).
2. Registrar cualquier interrupción del servicio.
3. Calcular el porcentaje de tiempo que el módulo estuvo disponible.</t>
        </is>
      </c>
      <c r="F33" s="170" t="inlineStr">
        <is>
          <t>Disponibilidad del módulo.</t>
        </is>
      </c>
      <c r="G33" s="170" t="inlineStr">
        <is>
          <t>1. El módulo está disponible el 99.5% del tiempo.</t>
        </is>
      </c>
      <c r="H33" s="170" t="inlineStr">
        <is>
          <t>Positiva</t>
        </is>
      </c>
      <c r="I33" s="170" t="inlineStr">
        <is>
          <t>Utilizar herramientas de monitoreo de disponibilidad para obtener resultados precisos.</t>
        </is>
      </c>
    </row>
  </sheetData>
  <mergeCells count="5">
    <mergeCell ref="A5:I5"/>
    <mergeCell ref="H7:I7"/>
    <mergeCell ref="A1:I3"/>
    <mergeCell ref="A6:I6"/>
    <mergeCell ref="D7:F7"/>
  </mergeCells>
  <pageMargins left="0.7" right="0.7" top="0.75" bottom="0.75" header="0.3" footer="0.3"/>
  <pageSetup orientation="portrait"/>
</worksheet>
</file>

<file path=xl/worksheets/sheet5.xml><?xml version="1.0" encoding="utf-8"?>
<worksheet xmlns="http://schemas.openxmlformats.org/spreadsheetml/2006/main">
  <sheetPr codeName="Hoja7">
    <outlinePr summaryBelow="1" summaryRight="1"/>
    <pageSetUpPr/>
  </sheetPr>
  <dimension ref="B1:GP49"/>
  <sheetViews>
    <sheetView topLeftCell="A2" zoomScale="80" zoomScaleNormal="80" workbookViewId="0">
      <pane ySplit="3" topLeftCell="A5" activePane="bottomLeft" state="frozen"/>
      <selection activeCell="A2" sqref="A2"/>
      <selection pane="bottomLeft" activeCell="C8" sqref="C8"/>
    </sheetView>
  </sheetViews>
  <sheetFormatPr baseColWidth="10" defaultColWidth="11.44140625" defaultRowHeight="13.2"/>
  <cols>
    <col width="2.6640625" customWidth="1" min="1" max="1"/>
    <col width="30.109375" bestFit="1" customWidth="1" min="2" max="2"/>
    <col width="12.33203125" bestFit="1" customWidth="1" min="4" max="4"/>
    <col width="15.5546875" customWidth="1" min="6" max="6"/>
    <col width="12.33203125" bestFit="1" customWidth="1" min="7" max="7"/>
    <col width="6.88671875" customWidth="1" min="8" max="8"/>
    <col width="9.6640625" customWidth="1" min="9" max="9"/>
    <col width="6.88671875" customWidth="1" min="10" max="10"/>
    <col width="6.88671875" customWidth="1" min="12" max="12"/>
    <col width="6.88671875" customWidth="1" min="14" max="14"/>
    <col width="12.44140625" bestFit="1" customWidth="1" min="16" max="16"/>
    <col width="15.109375" customWidth="1" min="17" max="17"/>
    <col width="17.44140625" customWidth="1" min="20" max="20"/>
  </cols>
  <sheetData>
    <row r="1" ht="15" customHeight="1" thickBot="1">
      <c r="B1" s="8" t="n"/>
      <c r="C1" s="8" t="n"/>
      <c r="D1" s="8" t="n"/>
      <c r="E1" s="8" t="n"/>
      <c r="F1" s="8" t="n"/>
      <c r="G1" s="8" t="n"/>
      <c r="H1" s="8" t="n"/>
      <c r="I1" s="8" t="n"/>
      <c r="J1" s="8" t="n"/>
      <c r="K1" s="8" t="n"/>
      <c r="L1" s="8" t="n"/>
      <c r="M1" s="8" t="n"/>
      <c r="N1" s="8" t="n"/>
      <c r="O1" s="8" t="n"/>
      <c r="P1" s="8" t="n"/>
      <c r="Q1" s="8" t="n"/>
      <c r="R1" s="8" t="n"/>
      <c r="S1" s="8" t="n"/>
      <c r="T1" s="8" t="n"/>
    </row>
    <row r="2">
      <c r="B2" s="171" t="inlineStr">
        <is>
          <t xml:space="preserve">Análisis de Resultados </t>
        </is>
      </c>
      <c r="C2" s="152" t="n"/>
      <c r="D2" s="152" t="n"/>
      <c r="E2" s="152" t="n"/>
      <c r="F2" s="152" t="n"/>
      <c r="G2" s="152" t="n"/>
      <c r="H2" s="152" t="n"/>
      <c r="I2" s="152" t="n"/>
      <c r="J2" s="152" t="n"/>
      <c r="K2" s="152" t="n"/>
      <c r="L2" s="152" t="n"/>
      <c r="M2" s="152" t="n"/>
      <c r="N2" s="152" t="n"/>
      <c r="O2" s="152" t="n"/>
      <c r="P2" s="152" t="n"/>
      <c r="Q2" s="152" t="n"/>
      <c r="R2" s="152" t="n"/>
      <c r="S2" s="152" t="n"/>
      <c r="T2" s="153"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c r="BZ2" s="30" t="n"/>
      <c r="CA2" s="30" t="n"/>
      <c r="CB2" s="30" t="n"/>
      <c r="CC2" s="30" t="n"/>
      <c r="CD2" s="30" t="n"/>
      <c r="CE2" s="30" t="n"/>
      <c r="CF2" s="30" t="n"/>
      <c r="CG2" s="30" t="n"/>
      <c r="CH2" s="30" t="n"/>
      <c r="CI2" s="30" t="n"/>
      <c r="CJ2" s="30" t="n"/>
      <c r="CK2" s="30" t="n"/>
      <c r="CL2" s="30" t="n"/>
      <c r="CM2" s="30" t="n"/>
      <c r="CN2" s="30" t="n"/>
      <c r="CO2" s="30" t="n"/>
      <c r="CP2" s="30" t="n"/>
      <c r="CQ2" s="30" t="n"/>
      <c r="CR2" s="30" t="n"/>
      <c r="CS2" s="30" t="n"/>
      <c r="CT2" s="30" t="n"/>
      <c r="CU2" s="30" t="n"/>
      <c r="CV2" s="30" t="n"/>
      <c r="CW2" s="30" t="n"/>
      <c r="CX2" s="30" t="n"/>
      <c r="CY2" s="30" t="n"/>
      <c r="CZ2" s="30" t="n"/>
      <c r="DA2" s="30" t="n"/>
      <c r="DB2" s="30" t="n"/>
      <c r="DC2" s="30" t="n"/>
      <c r="DD2" s="30" t="n"/>
      <c r="DE2" s="30" t="n"/>
      <c r="DF2" s="30" t="n"/>
      <c r="DG2" s="30" t="n"/>
      <c r="DH2" s="30" t="n"/>
      <c r="DI2" s="30" t="n"/>
      <c r="DJ2" s="30" t="n"/>
      <c r="DK2" s="30" t="n"/>
      <c r="DL2" s="30" t="n"/>
      <c r="DM2" s="30" t="n"/>
      <c r="DN2" s="30" t="n"/>
      <c r="DO2" s="30" t="n"/>
      <c r="DP2" s="30" t="n"/>
      <c r="DQ2" s="30" t="n"/>
      <c r="DR2" s="30" t="n"/>
      <c r="DS2" s="30" t="n"/>
      <c r="DT2" s="30" t="n"/>
      <c r="DU2" s="30" t="n"/>
      <c r="DV2" s="30" t="n"/>
      <c r="DW2" s="30" t="n"/>
      <c r="DX2" s="30" t="n"/>
      <c r="DY2" s="30" t="n"/>
      <c r="DZ2" s="30" t="n"/>
      <c r="EA2" s="30" t="n"/>
      <c r="EB2" s="30" t="n"/>
      <c r="EC2" s="30" t="n"/>
      <c r="ED2" s="30" t="n"/>
      <c r="EE2" s="30" t="n"/>
      <c r="EF2" s="30" t="n"/>
      <c r="EG2" s="30" t="n"/>
      <c r="EH2" s="30" t="n"/>
      <c r="EI2" s="30" t="n"/>
      <c r="EJ2" s="30" t="n"/>
      <c r="EK2" s="30" t="n"/>
      <c r="EL2" s="30" t="n"/>
      <c r="EM2" s="30" t="n"/>
      <c r="EN2" s="30" t="n"/>
      <c r="EO2" s="30" t="n"/>
      <c r="EP2" s="30" t="n"/>
      <c r="EQ2" s="30" t="n"/>
      <c r="ER2" s="30" t="n"/>
      <c r="ES2" s="30" t="n"/>
      <c r="ET2" s="30" t="n"/>
      <c r="EU2" s="30" t="n"/>
      <c r="EV2" s="30" t="n"/>
      <c r="EW2" s="30" t="n"/>
      <c r="EX2" s="30" t="n"/>
      <c r="EY2" s="30" t="n"/>
      <c r="EZ2" s="30" t="n"/>
      <c r="FA2" s="30" t="n"/>
      <c r="FB2" s="30" t="n"/>
      <c r="FC2" s="30" t="n"/>
      <c r="FD2" s="30" t="n"/>
      <c r="FE2" s="30" t="n"/>
      <c r="FF2" s="30" t="n"/>
      <c r="FG2" s="30" t="n"/>
      <c r="FH2" s="30" t="n"/>
      <c r="FI2" s="30" t="n"/>
      <c r="FJ2" s="30" t="n"/>
      <c r="FK2" s="30" t="n"/>
      <c r="FL2" s="30" t="n"/>
      <c r="FM2" s="30" t="n"/>
      <c r="FN2" s="30" t="n"/>
      <c r="FO2" s="30" t="n"/>
      <c r="FP2" s="30" t="n"/>
      <c r="FQ2" s="30" t="n"/>
      <c r="FR2" s="30" t="n"/>
      <c r="FS2" s="30" t="n"/>
      <c r="FT2" s="30" t="n"/>
      <c r="FU2" s="30" t="n"/>
      <c r="FV2" s="30" t="n"/>
      <c r="FW2" s="30" t="n"/>
      <c r="FX2" s="30" t="n"/>
      <c r="FY2" s="30" t="n"/>
      <c r="FZ2" s="30" t="n"/>
      <c r="GA2" s="30" t="n"/>
      <c r="GB2" s="30" t="n"/>
      <c r="GC2" s="30" t="n"/>
      <c r="GD2" s="30" t="n"/>
      <c r="GE2" s="30" t="n"/>
      <c r="GF2" s="30" t="n"/>
      <c r="GG2" s="30" t="n"/>
      <c r="GH2" s="30" t="n"/>
      <c r="GI2" s="30" t="n"/>
      <c r="GJ2" s="30" t="n"/>
      <c r="GK2" s="30" t="n"/>
      <c r="GL2" s="30" t="n"/>
      <c r="GM2" s="30" t="n"/>
      <c r="GN2" s="30" t="n"/>
      <c r="GO2" s="30" t="n"/>
      <c r="GP2" s="30" t="n"/>
    </row>
    <row r="3">
      <c r="B3" s="154" t="n"/>
      <c r="T3" s="155"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row>
    <row r="4" ht="7.5" customHeight="1" thickBot="1">
      <c r="B4" s="172" t="n"/>
      <c r="C4" s="173" t="n"/>
      <c r="D4" s="173" t="n"/>
      <c r="E4" s="173" t="n"/>
      <c r="F4" s="173" t="n"/>
      <c r="G4" s="173" t="n"/>
      <c r="H4" s="173" t="n"/>
      <c r="I4" s="173" t="n"/>
      <c r="J4" s="173" t="n"/>
      <c r="K4" s="173" t="n"/>
      <c r="L4" s="173" t="n"/>
      <c r="M4" s="173" t="n"/>
      <c r="N4" s="173" t="n"/>
      <c r="O4" s="173" t="n"/>
      <c r="P4" s="173" t="n"/>
      <c r="Q4" s="173" t="n"/>
      <c r="R4" s="173" t="n"/>
      <c r="S4" s="173" t="n"/>
      <c r="T4" s="174"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c r="CJ4" s="30" t="n"/>
      <c r="CK4" s="30" t="n"/>
      <c r="CL4" s="30" t="n"/>
      <c r="CM4" s="30" t="n"/>
      <c r="CN4" s="30" t="n"/>
      <c r="CO4" s="30" t="n"/>
      <c r="CP4" s="30" t="n"/>
      <c r="CQ4" s="30" t="n"/>
      <c r="CR4" s="30" t="n"/>
      <c r="CS4" s="30" t="n"/>
      <c r="CT4" s="30" t="n"/>
      <c r="CU4" s="30" t="n"/>
      <c r="CV4" s="30" t="n"/>
      <c r="CW4" s="30" t="n"/>
      <c r="CX4" s="30" t="n"/>
      <c r="CY4" s="30" t="n"/>
      <c r="CZ4" s="30" t="n"/>
      <c r="DA4" s="30" t="n"/>
      <c r="DB4" s="30" t="n"/>
      <c r="DC4" s="30" t="n"/>
      <c r="DD4" s="30" t="n"/>
      <c r="DE4" s="30" t="n"/>
      <c r="DF4" s="30" t="n"/>
      <c r="DG4" s="30" t="n"/>
      <c r="DH4" s="30" t="n"/>
      <c r="DI4" s="30" t="n"/>
      <c r="DJ4" s="30" t="n"/>
      <c r="DK4" s="30" t="n"/>
      <c r="DL4" s="30" t="n"/>
      <c r="DM4" s="30" t="n"/>
      <c r="DN4" s="30" t="n"/>
      <c r="DO4" s="30" t="n"/>
      <c r="DP4" s="30" t="n"/>
      <c r="DQ4" s="30" t="n"/>
      <c r="DR4" s="30" t="n"/>
      <c r="DS4" s="30" t="n"/>
      <c r="DT4" s="30" t="n"/>
      <c r="DU4" s="30" t="n"/>
      <c r="DV4" s="30" t="n"/>
      <c r="DW4" s="30" t="n"/>
      <c r="DX4" s="30" t="n"/>
      <c r="DY4" s="30" t="n"/>
      <c r="DZ4" s="30" t="n"/>
      <c r="EA4" s="30" t="n"/>
      <c r="EB4" s="30" t="n"/>
      <c r="EC4" s="30" t="n"/>
      <c r="ED4" s="30" t="n"/>
      <c r="EE4" s="30" t="n"/>
      <c r="EF4" s="30" t="n"/>
      <c r="EG4" s="30" t="n"/>
      <c r="EH4" s="30" t="n"/>
      <c r="EI4" s="30" t="n"/>
      <c r="EJ4" s="30" t="n"/>
      <c r="EK4" s="30" t="n"/>
      <c r="EL4" s="30" t="n"/>
      <c r="EM4" s="30" t="n"/>
      <c r="EN4" s="30" t="n"/>
      <c r="EO4" s="30" t="n"/>
      <c r="EP4" s="30" t="n"/>
      <c r="EQ4" s="30" t="n"/>
      <c r="ER4" s="30" t="n"/>
      <c r="ES4" s="30" t="n"/>
      <c r="ET4" s="30" t="n"/>
      <c r="EU4" s="30" t="n"/>
      <c r="EV4" s="30" t="n"/>
      <c r="EW4" s="30" t="n"/>
      <c r="EX4" s="30" t="n"/>
      <c r="EY4" s="30" t="n"/>
      <c r="EZ4" s="30" t="n"/>
      <c r="FA4" s="30" t="n"/>
      <c r="FB4" s="30" t="n"/>
      <c r="FC4" s="30" t="n"/>
      <c r="FD4" s="30" t="n"/>
      <c r="FE4" s="30" t="n"/>
      <c r="FF4" s="30" t="n"/>
      <c r="FG4" s="30" t="n"/>
      <c r="FH4" s="30" t="n"/>
      <c r="FI4" s="30" t="n"/>
      <c r="FJ4" s="30" t="n"/>
      <c r="FK4" s="30" t="n"/>
      <c r="FL4" s="30" t="n"/>
      <c r="FM4" s="30" t="n"/>
      <c r="FN4" s="30" t="n"/>
      <c r="FO4" s="30" t="n"/>
      <c r="FP4" s="30" t="n"/>
      <c r="FQ4" s="30" t="n"/>
      <c r="FR4" s="30" t="n"/>
      <c r="FS4" s="30" t="n"/>
      <c r="FT4" s="30" t="n"/>
      <c r="FU4" s="30" t="n"/>
      <c r="FV4" s="30" t="n"/>
      <c r="FW4" s="30" t="n"/>
      <c r="FX4" s="30" t="n"/>
      <c r="FY4" s="30" t="n"/>
      <c r="FZ4" s="30" t="n"/>
      <c r="GA4" s="30" t="n"/>
      <c r="GB4" s="30" t="n"/>
      <c r="GC4" s="30" t="n"/>
      <c r="GD4" s="30" t="n"/>
      <c r="GE4" s="30" t="n"/>
      <c r="GF4" s="30" t="n"/>
      <c r="GG4" s="30" t="n"/>
      <c r="GH4" s="30" t="n"/>
      <c r="GI4" s="30" t="n"/>
      <c r="GJ4" s="30" t="n"/>
      <c r="GK4" s="30" t="n"/>
      <c r="GL4" s="30" t="n"/>
      <c r="GM4" s="30" t="n"/>
      <c r="GN4" s="30" t="n"/>
      <c r="GO4" s="30" t="n"/>
      <c r="GP4" s="30" t="n"/>
    </row>
    <row r="5" ht="13.8" customHeight="1" thickBot="1">
      <c r="B5" s="41" t="inlineStr">
        <is>
          <t>Análisis de Resultados IT I</t>
        </is>
      </c>
      <c r="C5" s="42" t="n"/>
      <c r="D5" s="43" t="n"/>
      <c r="E5" s="43" t="n"/>
      <c r="F5" s="42" t="n"/>
      <c r="G5" s="43" t="n"/>
      <c r="H5" s="43" t="n"/>
      <c r="I5" s="42" t="n"/>
      <c r="J5" s="43" t="n"/>
      <c r="K5" s="44" t="n"/>
      <c r="L5" s="44" t="n"/>
      <c r="M5" s="44" t="n"/>
      <c r="N5" s="44" t="n"/>
      <c r="O5" s="44" t="n"/>
      <c r="P5" s="44" t="n"/>
      <c r="Q5" s="44" t="n"/>
      <c r="R5" s="44" t="n"/>
      <c r="S5" s="44" t="n"/>
      <c r="T5" s="45"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c r="EH5" s="30" t="n"/>
      <c r="EI5" s="30" t="n"/>
      <c r="EJ5" s="30" t="n"/>
      <c r="EK5" s="30" t="n"/>
      <c r="EL5" s="30" t="n"/>
      <c r="EM5" s="30" t="n"/>
      <c r="EN5" s="30" t="n"/>
      <c r="EO5" s="30" t="n"/>
      <c r="EP5" s="30" t="n"/>
      <c r="EQ5" s="30" t="n"/>
      <c r="ER5" s="30" t="n"/>
      <c r="ES5" s="30" t="n"/>
      <c r="ET5" s="30" t="n"/>
      <c r="EU5" s="30" t="n"/>
      <c r="EV5" s="30" t="n"/>
      <c r="EW5" s="30" t="n"/>
      <c r="EX5" s="30" t="n"/>
      <c r="EY5" s="30" t="n"/>
      <c r="EZ5" s="30" t="n"/>
      <c r="FA5" s="30" t="n"/>
      <c r="FB5" s="30" t="n"/>
      <c r="FC5" s="30" t="n"/>
      <c r="FD5" s="30" t="n"/>
      <c r="FE5" s="30" t="n"/>
      <c r="FF5" s="30" t="n"/>
      <c r="FG5" s="30" t="n"/>
      <c r="FH5" s="30" t="n"/>
      <c r="FI5" s="30" t="n"/>
      <c r="FJ5" s="30" t="n"/>
      <c r="FK5" s="30" t="n"/>
      <c r="FL5" s="30" t="n"/>
      <c r="FM5" s="30" t="n"/>
      <c r="FN5" s="30" t="n"/>
      <c r="FO5" s="30" t="n"/>
      <c r="FP5" s="30" t="n"/>
      <c r="FQ5" s="30" t="n"/>
      <c r="FR5" s="30" t="n"/>
      <c r="FS5" s="30" t="n"/>
      <c r="FT5" s="30" t="n"/>
      <c r="FU5" s="30" t="n"/>
      <c r="FV5" s="30" t="n"/>
      <c r="FW5" s="30" t="n"/>
      <c r="FX5" s="30" t="n"/>
      <c r="FY5" s="30" t="n"/>
      <c r="FZ5" s="30" t="n"/>
      <c r="GA5" s="30" t="n"/>
      <c r="GB5" s="30" t="n"/>
      <c r="GC5" s="30" t="n"/>
      <c r="GD5" s="30" t="n"/>
      <c r="GE5" s="30" t="n"/>
      <c r="GF5" s="30" t="n"/>
      <c r="GG5" s="30" t="n"/>
      <c r="GH5" s="30" t="n"/>
      <c r="GI5" s="30" t="n"/>
      <c r="GJ5" s="30" t="n"/>
      <c r="GK5" s="30" t="n"/>
      <c r="GL5" s="30" t="n"/>
      <c r="GM5" s="30" t="n"/>
      <c r="GN5" s="30" t="n"/>
      <c r="GO5" s="30" t="n"/>
      <c r="GP5" s="30" t="n"/>
    </row>
    <row r="6" ht="13.8" customHeight="1" thickBot="1">
      <c r="B6" s="9" t="inlineStr">
        <is>
          <t>Funcionalidad o Requerimiento</t>
        </is>
      </c>
      <c r="C6" s="9" t="inlineStr">
        <is>
          <t>Nro. Reqs Prueba</t>
        </is>
      </c>
      <c r="D6" s="9" t="inlineStr">
        <is>
          <t>No Conformidades</t>
        </is>
      </c>
      <c r="E6" s="175" t="n"/>
      <c r="F6" s="176" t="n"/>
      <c r="G6" s="9" t="inlineStr">
        <is>
          <t>NC Anulados</t>
        </is>
      </c>
      <c r="H6" s="177" t="inlineStr">
        <is>
          <t>Resultados</t>
        </is>
      </c>
      <c r="I6" s="152" t="n"/>
      <c r="J6" s="152" t="n"/>
      <c r="K6" s="152" t="n"/>
      <c r="L6" s="152" t="n"/>
      <c r="M6" s="152" t="n"/>
      <c r="N6" s="152" t="n"/>
      <c r="O6" s="153" t="n"/>
      <c r="P6" s="9" t="inlineStr">
        <is>
          <t>Correctitud</t>
        </is>
      </c>
      <c r="Q6" s="9" t="inlineStr">
        <is>
          <t>Densidad NC</t>
        </is>
      </c>
      <c r="R6" s="9" t="inlineStr">
        <is>
          <t>Confiab.</t>
        </is>
      </c>
      <c r="S6" s="9" t="inlineStr">
        <is>
          <t>Cobertura</t>
        </is>
      </c>
      <c r="T6" s="9" t="inlineStr">
        <is>
          <t>Observaciones</t>
        </is>
      </c>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c r="CJ6" s="30" t="n"/>
      <c r="CK6" s="30" t="n"/>
      <c r="CL6" s="30" t="n"/>
      <c r="CM6" s="30" t="n"/>
      <c r="CN6" s="30" t="n"/>
      <c r="CO6" s="30" t="n"/>
      <c r="CP6" s="30" t="n"/>
      <c r="CQ6" s="30" t="n"/>
      <c r="CR6" s="30" t="n"/>
      <c r="CS6" s="30" t="n"/>
      <c r="CT6" s="30" t="n"/>
      <c r="CU6" s="30" t="n"/>
      <c r="CV6" s="30" t="n"/>
      <c r="CW6" s="30" t="n"/>
      <c r="CX6" s="30" t="n"/>
      <c r="CY6" s="30" t="n"/>
      <c r="CZ6" s="30" t="n"/>
      <c r="DA6" s="30" t="n"/>
      <c r="DB6" s="30" t="n"/>
      <c r="DC6" s="30" t="n"/>
      <c r="DD6" s="30" t="n"/>
      <c r="DE6" s="30" t="n"/>
      <c r="DF6" s="30" t="n"/>
      <c r="DG6" s="30" t="n"/>
      <c r="DH6" s="30" t="n"/>
      <c r="DI6" s="30" t="n"/>
      <c r="DJ6" s="30" t="n"/>
      <c r="DK6" s="30" t="n"/>
      <c r="DL6" s="30" t="n"/>
      <c r="DM6" s="30" t="n"/>
      <c r="DN6" s="30" t="n"/>
      <c r="DO6" s="30" t="n"/>
      <c r="DP6" s="30" t="n"/>
      <c r="DQ6" s="30" t="n"/>
      <c r="DR6" s="30" t="n"/>
      <c r="DS6" s="30" t="n"/>
      <c r="DT6" s="30" t="n"/>
      <c r="DU6" s="30" t="n"/>
      <c r="DV6" s="30" t="n"/>
      <c r="DW6" s="30" t="n"/>
      <c r="DX6" s="30" t="n"/>
      <c r="DY6" s="30" t="n"/>
      <c r="DZ6" s="30" t="n"/>
      <c r="EA6" s="30" t="n"/>
      <c r="EB6" s="30" t="n"/>
      <c r="EC6" s="30" t="n"/>
      <c r="ED6" s="30" t="n"/>
      <c r="EE6" s="30" t="n"/>
      <c r="EF6" s="30" t="n"/>
      <c r="EG6" s="30" t="n"/>
      <c r="EH6" s="30" t="n"/>
      <c r="EI6" s="30" t="n"/>
      <c r="EJ6" s="30" t="n"/>
      <c r="EK6" s="30" t="n"/>
      <c r="EL6" s="30" t="n"/>
      <c r="EM6" s="30" t="n"/>
      <c r="EN6" s="30" t="n"/>
      <c r="EO6" s="30" t="n"/>
      <c r="EP6" s="30" t="n"/>
      <c r="EQ6" s="30" t="n"/>
      <c r="ER6" s="30" t="n"/>
      <c r="ES6" s="30" t="n"/>
      <c r="ET6" s="30" t="n"/>
      <c r="EU6" s="30" t="n"/>
      <c r="EV6" s="30" t="n"/>
      <c r="EW6" s="30" t="n"/>
      <c r="EX6" s="30" t="n"/>
      <c r="EY6" s="30" t="n"/>
      <c r="EZ6" s="30" t="n"/>
      <c r="FA6" s="30" t="n"/>
      <c r="FB6" s="30" t="n"/>
      <c r="FC6" s="30" t="n"/>
      <c r="FD6" s="30" t="n"/>
      <c r="FE6" s="30" t="n"/>
      <c r="FF6" s="30" t="n"/>
      <c r="FG6" s="30" t="n"/>
      <c r="FH6" s="30" t="n"/>
      <c r="FI6" s="30" t="n"/>
      <c r="FJ6" s="30" t="n"/>
      <c r="FK6" s="30" t="n"/>
      <c r="FL6" s="30" t="n"/>
      <c r="FM6" s="30" t="n"/>
      <c r="FN6" s="30" t="n"/>
      <c r="FO6" s="30" t="n"/>
      <c r="FP6" s="30" t="n"/>
      <c r="FQ6" s="30" t="n"/>
      <c r="FR6" s="30" t="n"/>
      <c r="FS6" s="30" t="n"/>
      <c r="FT6" s="30" t="n"/>
      <c r="FU6" s="30" t="n"/>
      <c r="FV6" s="30" t="n"/>
      <c r="FW6" s="30" t="n"/>
      <c r="FX6" s="30" t="n"/>
      <c r="FY6" s="30" t="n"/>
      <c r="FZ6" s="30" t="n"/>
      <c r="GA6" s="30" t="n"/>
      <c r="GB6" s="30" t="n"/>
      <c r="GC6" s="30" t="n"/>
      <c r="GD6" s="30" t="n"/>
      <c r="GE6" s="30" t="n"/>
      <c r="GF6" s="30" t="n"/>
      <c r="GG6" s="30" t="n"/>
      <c r="GH6" s="30" t="n"/>
      <c r="GI6" s="30" t="n"/>
      <c r="GJ6" s="30" t="n"/>
      <c r="GK6" s="30" t="n"/>
      <c r="GL6" s="30" t="n"/>
      <c r="GM6" s="30" t="n"/>
      <c r="GN6" s="30" t="n"/>
      <c r="GO6" s="30" t="n"/>
      <c r="GP6" s="30" t="n"/>
    </row>
    <row r="7" ht="13.8" customHeight="1" thickBot="1">
      <c r="B7" s="178" t="n"/>
      <c r="C7" s="178" t="n"/>
      <c r="D7" s="9" t="inlineStr">
        <is>
          <t>Bloqueante</t>
        </is>
      </c>
      <c r="E7" s="9" t="inlineStr">
        <is>
          <t>Funcional</t>
        </is>
      </c>
      <c r="F7" s="9" t="inlineStr">
        <is>
          <t>Presentación</t>
        </is>
      </c>
      <c r="G7" s="178" t="n"/>
      <c r="H7" s="179" t="inlineStr">
        <is>
          <t>Ejecutados</t>
        </is>
      </c>
      <c r="I7" s="180" t="n"/>
      <c r="J7" s="179" t="inlineStr">
        <is>
          <t>OK</t>
        </is>
      </c>
      <c r="K7" s="180" t="n"/>
      <c r="L7" s="148" t="inlineStr">
        <is>
          <t>NOK</t>
        </is>
      </c>
      <c r="M7" s="175" t="n"/>
      <c r="N7" s="181" t="inlineStr">
        <is>
          <t>PDTE</t>
        </is>
      </c>
      <c r="O7" s="176" t="n"/>
      <c r="P7" s="178" t="n"/>
      <c r="Q7" s="178" t="n"/>
      <c r="R7" s="178" t="n"/>
      <c r="S7" s="178" t="n"/>
      <c r="T7" s="178"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c r="EH7" s="30" t="n"/>
      <c r="EI7" s="30" t="n"/>
      <c r="EJ7" s="30" t="n"/>
      <c r="EK7" s="30" t="n"/>
      <c r="EL7" s="30" t="n"/>
      <c r="EM7" s="30" t="n"/>
      <c r="EN7" s="30" t="n"/>
      <c r="EO7" s="30" t="n"/>
      <c r="EP7" s="30" t="n"/>
      <c r="EQ7" s="30" t="n"/>
      <c r="ER7" s="30" t="n"/>
      <c r="ES7" s="30" t="n"/>
      <c r="ET7" s="30" t="n"/>
      <c r="EU7" s="30" t="n"/>
      <c r="EV7" s="30" t="n"/>
      <c r="EW7" s="30" t="n"/>
      <c r="EX7" s="30" t="n"/>
      <c r="EY7" s="30" t="n"/>
      <c r="EZ7" s="30" t="n"/>
      <c r="FA7" s="30" t="n"/>
      <c r="FB7" s="30" t="n"/>
      <c r="FC7" s="30" t="n"/>
      <c r="FD7" s="30" t="n"/>
      <c r="FE7" s="30" t="n"/>
      <c r="FF7" s="30" t="n"/>
      <c r="FG7" s="30" t="n"/>
      <c r="FH7" s="30" t="n"/>
      <c r="FI7" s="30" t="n"/>
      <c r="FJ7" s="30" t="n"/>
      <c r="FK7" s="30" t="n"/>
      <c r="FL7" s="30" t="n"/>
      <c r="FM7" s="30" t="n"/>
      <c r="FN7" s="30" t="n"/>
      <c r="FO7" s="30" t="n"/>
      <c r="FP7" s="30" t="n"/>
      <c r="FQ7" s="30" t="n"/>
      <c r="FR7" s="30" t="n"/>
      <c r="FS7" s="30" t="n"/>
      <c r="FT7" s="30" t="n"/>
      <c r="FU7" s="30" t="n"/>
      <c r="FV7" s="30" t="n"/>
      <c r="FW7" s="30" t="n"/>
      <c r="FX7" s="30" t="n"/>
      <c r="FY7" s="30" t="n"/>
      <c r="FZ7" s="30" t="n"/>
      <c r="GA7" s="30" t="n"/>
      <c r="GB7" s="30" t="n"/>
      <c r="GC7" s="30" t="n"/>
      <c r="GD7" s="30" t="n"/>
      <c r="GE7" s="30" t="n"/>
      <c r="GF7" s="30" t="n"/>
      <c r="GG7" s="30" t="n"/>
      <c r="GH7" s="30" t="n"/>
      <c r="GI7" s="30" t="n"/>
      <c r="GJ7" s="30" t="n"/>
      <c r="GK7" s="30" t="n"/>
      <c r="GL7" s="30" t="n"/>
      <c r="GM7" s="30" t="n"/>
      <c r="GN7" s="30" t="n"/>
      <c r="GO7" s="30" t="n"/>
      <c r="GP7" s="30" t="n"/>
    </row>
    <row r="8" customFormat="1" s="29">
      <c r="B8" s="2">
        <f>IF(#REF!=0,"",#REF!)</f>
        <v/>
      </c>
      <c r="C8" s="3">
        <f>IF(COUNTIF(#REF!,"OK")+COUNTIF(#REF!,"NOK")+COUNTIF(#REF!,"PDTE")+COUNTIF(#REF!,"N/A")=0,"",COUNTIF(#REF!,"OK")+COUNTIF(#REF!,"NOK")+COUNTIF(#REF!,"PDTE")+COUNTIF(#REF!,"N/A"))</f>
        <v/>
      </c>
      <c r="D8" s="4" t="n"/>
      <c r="E8" s="4" t="n"/>
      <c r="F8" s="4" t="n"/>
      <c r="G8" s="3">
        <f>IF(COUNTIF(#REF!,"N/A")=0,"",COUNTIF(#REF!,"N/A"))</f>
        <v/>
      </c>
      <c r="H8" s="3">
        <f>IF(COUNTIF(#REF!,"OK")+COUNTIF(#REF!,"NOK")=0,"",COUNTIF(#REF!,"OK")+COUNTIF(#REF!,"NOK"))</f>
        <v/>
      </c>
      <c r="I8" s="26">
        <f>IF(OR(C8=" ",OR(H8="",H8=0)),"",H8/C8)</f>
        <v/>
      </c>
      <c r="J8" s="11">
        <f>IF(COUNTIF(#REF!,"OK")=0,"",COUNTIF(#REF!,"OK"))</f>
        <v/>
      </c>
      <c r="K8" s="26">
        <f>IF(OR(C8=" ",OR(J8="",J8=0)),"",J8/C8)</f>
        <v/>
      </c>
      <c r="L8" s="11">
        <f>IF(COUNTIF(#REF!,"NOK")=0,"",COUNTIF(#REF!,"NOK"))</f>
        <v/>
      </c>
      <c r="M8" s="27">
        <f>IF(OR(C8=" ",OR(L8="",L8=0)),"",L8/C8)</f>
        <v/>
      </c>
      <c r="N8" s="21">
        <f>IF(COUNTIF(#REF!,"PDTE")=0,"",COUNTIF(#REF!,"PDTE"))</f>
        <v/>
      </c>
      <c r="O8" s="26">
        <f>IF(OR(C8=" ",OR(N8="",N8=0)),"",N8/C8)</f>
        <v/>
      </c>
      <c r="P8" s="26">
        <f>IF(OR(H8=0,H8=""),"",SUM(J8)/H8)</f>
        <v/>
      </c>
      <c r="Q8" s="26">
        <f>IF(OR(H8=0,H8=""),"",SUM(D8:F8)/H8)</f>
        <v/>
      </c>
      <c r="R8" s="26">
        <f>IF(Q8="","",1-Q8)</f>
        <v/>
      </c>
      <c r="S8" s="26">
        <f>IF(OR(I8="",I8=0),"",I8)</f>
        <v/>
      </c>
      <c r="T8" s="2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n"/>
      <c r="BH8" s="38" t="n"/>
      <c r="BI8" s="38" t="n"/>
      <c r="BJ8" s="38" t="n"/>
      <c r="BK8" s="38" t="n"/>
      <c r="BL8" s="38" t="n"/>
      <c r="BM8" s="38" t="n"/>
      <c r="BN8" s="38" t="n"/>
      <c r="BO8" s="38" t="n"/>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38" t="n"/>
      <c r="CV8" s="38" t="n"/>
      <c r="CW8" s="38" t="n"/>
      <c r="CX8" s="38" t="n"/>
      <c r="CY8" s="38" t="n"/>
      <c r="CZ8" s="38" t="n"/>
      <c r="DA8" s="38" t="n"/>
      <c r="DB8" s="38" t="n"/>
      <c r="DC8" s="38" t="n"/>
      <c r="DD8" s="38" t="n"/>
      <c r="DE8" s="38" t="n"/>
      <c r="DF8" s="38" t="n"/>
      <c r="DG8" s="38" t="n"/>
      <c r="DH8" s="38" t="n"/>
      <c r="DI8" s="38" t="n"/>
      <c r="DJ8" s="38" t="n"/>
      <c r="DK8" s="38" t="n"/>
      <c r="DL8" s="38" t="n"/>
      <c r="DM8" s="38" t="n"/>
      <c r="DN8" s="38" t="n"/>
      <c r="DO8" s="38" t="n"/>
      <c r="DP8" s="38" t="n"/>
      <c r="DQ8" s="38" t="n"/>
      <c r="DR8" s="38" t="n"/>
      <c r="DS8" s="38" t="n"/>
      <c r="DT8" s="38" t="n"/>
      <c r="DU8" s="38" t="n"/>
      <c r="DV8" s="38" t="n"/>
      <c r="DW8" s="38" t="n"/>
      <c r="DX8" s="38" t="n"/>
      <c r="DY8" s="38" t="n"/>
      <c r="DZ8" s="38" t="n"/>
      <c r="EA8" s="38" t="n"/>
      <c r="EB8" s="38" t="n"/>
      <c r="EC8" s="38" t="n"/>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row>
    <row r="9" customFormat="1" s="7">
      <c r="B9" s="2" t="n"/>
      <c r="C9" s="4" t="n"/>
      <c r="D9" s="4" t="n"/>
      <c r="E9" s="4" t="n"/>
      <c r="F9" s="4" t="n"/>
      <c r="G9" s="4" t="n"/>
      <c r="H9" s="4" t="n"/>
      <c r="I9" s="6">
        <f>IF(OR(C9=" ",OR(H9="",H9="")),"",H9/C9)</f>
        <v/>
      </c>
      <c r="J9" s="12" t="n"/>
      <c r="K9" s="6">
        <f>IF(OR(C9="",OR(J9="")),"",J9/C9)</f>
        <v/>
      </c>
      <c r="L9" s="12" t="n"/>
      <c r="M9" s="18">
        <f>IF(OR(C9=" ",OR(L9="",L9=0)),"",L9/C9)</f>
        <v/>
      </c>
      <c r="N9" s="4" t="n"/>
      <c r="O9" s="6">
        <f>IF(OR(C9=" ",OR(N9="",N9=0)),"",N9/C9)</f>
        <v/>
      </c>
      <c r="P9" s="6">
        <f>IF(OR(H9=0,H9=""),"",J9/H9)</f>
        <v/>
      </c>
      <c r="Q9" s="6">
        <f>IF(OR(H9=0,H9=""),"",SUM(D9:E9)/H9)</f>
        <v/>
      </c>
      <c r="R9" s="6">
        <f>IF(Q9="","",1-Q9)</f>
        <v/>
      </c>
      <c r="S9" s="6">
        <f>IF(OR(I9="",I9=0),"",I9)</f>
        <v/>
      </c>
      <c r="T9" s="13"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3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c r="CJ9" s="39" t="n"/>
      <c r="CK9" s="39" t="n"/>
      <c r="CL9" s="39" t="n"/>
      <c r="CM9" s="39" t="n"/>
      <c r="CN9" s="39" t="n"/>
      <c r="CO9" s="39" t="n"/>
      <c r="CP9" s="39" t="n"/>
      <c r="CQ9" s="39" t="n"/>
      <c r="CR9" s="39" t="n"/>
      <c r="CS9" s="39" t="n"/>
      <c r="CT9" s="39" t="n"/>
      <c r="CU9" s="39" t="n"/>
      <c r="CV9" s="39" t="n"/>
      <c r="CW9" s="39" t="n"/>
      <c r="CX9" s="39" t="n"/>
      <c r="CY9" s="39" t="n"/>
      <c r="CZ9" s="39" t="n"/>
      <c r="DA9" s="39" t="n"/>
      <c r="DB9" s="39" t="n"/>
      <c r="DC9" s="39" t="n"/>
      <c r="DD9" s="39" t="n"/>
      <c r="DE9" s="39" t="n"/>
      <c r="DF9" s="39" t="n"/>
      <c r="DG9" s="39" t="n"/>
      <c r="DH9" s="39" t="n"/>
      <c r="DI9" s="39" t="n"/>
      <c r="DJ9" s="39" t="n"/>
      <c r="DK9" s="39" t="n"/>
      <c r="DL9" s="39" t="n"/>
      <c r="DM9" s="39" t="n"/>
      <c r="DN9" s="39" t="n"/>
      <c r="DO9" s="39" t="n"/>
      <c r="DP9" s="39" t="n"/>
      <c r="DQ9" s="39" t="n"/>
      <c r="DR9" s="39" t="n"/>
      <c r="DS9" s="39" t="n"/>
      <c r="DT9" s="39" t="n"/>
      <c r="DU9" s="39" t="n"/>
      <c r="DV9" s="39" t="n"/>
      <c r="DW9" s="39" t="n"/>
      <c r="DX9" s="39" t="n"/>
      <c r="DY9" s="39" t="n"/>
      <c r="DZ9" s="39" t="n"/>
      <c r="EA9" s="39" t="n"/>
      <c r="EB9" s="39" t="n"/>
      <c r="EC9" s="39" t="n"/>
      <c r="ED9" s="39" t="n"/>
      <c r="EE9" s="39" t="n"/>
      <c r="EF9" s="39" t="n"/>
      <c r="EG9" s="39" t="n"/>
      <c r="EH9" s="39" t="n"/>
      <c r="EI9" s="39" t="n"/>
      <c r="EJ9" s="39" t="n"/>
      <c r="EK9" s="39" t="n"/>
      <c r="EL9" s="39" t="n"/>
      <c r="EM9" s="39" t="n"/>
      <c r="EN9" s="39" t="n"/>
      <c r="EO9" s="39" t="n"/>
      <c r="EP9" s="39" t="n"/>
      <c r="EQ9" s="39" t="n"/>
      <c r="ER9" s="39" t="n"/>
      <c r="ES9" s="39" t="n"/>
      <c r="ET9" s="39" t="n"/>
      <c r="EU9" s="39" t="n"/>
      <c r="EV9" s="39" t="n"/>
      <c r="EW9" s="39" t="n"/>
      <c r="EX9" s="39" t="n"/>
      <c r="EY9" s="39" t="n"/>
      <c r="EZ9" s="39" t="n"/>
      <c r="FA9" s="39" t="n"/>
      <c r="FB9" s="39" t="n"/>
      <c r="FC9" s="39" t="n"/>
      <c r="FD9" s="39" t="n"/>
      <c r="FE9" s="39" t="n"/>
      <c r="FF9" s="39" t="n"/>
      <c r="FG9" s="39" t="n"/>
      <c r="FH9" s="39" t="n"/>
      <c r="FI9" s="39" t="n"/>
      <c r="FJ9" s="39" t="n"/>
      <c r="FK9" s="39" t="n"/>
      <c r="FL9" s="39" t="n"/>
      <c r="FM9" s="39" t="n"/>
      <c r="FN9" s="39" t="n"/>
      <c r="FO9" s="39" t="n"/>
      <c r="FP9" s="39" t="n"/>
      <c r="FQ9" s="39" t="n"/>
      <c r="FR9" s="39" t="n"/>
      <c r="FS9" s="39" t="n"/>
      <c r="FT9" s="39" t="n"/>
      <c r="FU9" s="39" t="n"/>
      <c r="FV9" s="39" t="n"/>
      <c r="FW9" s="39" t="n"/>
      <c r="FX9" s="39" t="n"/>
      <c r="FY9" s="39" t="n"/>
      <c r="FZ9" s="39" t="n"/>
      <c r="GA9" s="39" t="n"/>
      <c r="GB9" s="39" t="n"/>
      <c r="GC9" s="39" t="n"/>
      <c r="GD9" s="39" t="n"/>
      <c r="GE9" s="39" t="n"/>
      <c r="GF9" s="39" t="n"/>
      <c r="GG9" s="39" t="n"/>
      <c r="GH9" s="39" t="n"/>
      <c r="GI9" s="39" t="n"/>
      <c r="GJ9" s="39" t="n"/>
      <c r="GK9" s="39" t="n"/>
      <c r="GL9" s="39" t="n"/>
      <c r="GM9" s="39" t="n"/>
      <c r="GN9" s="39" t="n"/>
      <c r="GO9" s="39" t="n"/>
      <c r="GP9" s="39" t="n"/>
    </row>
    <row r="10" customFormat="1" s="7">
      <c r="B10" s="2" t="n"/>
      <c r="C10" s="4" t="n"/>
      <c r="D10" s="4" t="n"/>
      <c r="E10" s="4" t="n"/>
      <c r="F10" s="4" t="n"/>
      <c r="G10" s="4" t="n"/>
      <c r="H10" s="4" t="n"/>
      <c r="I10" s="6">
        <f>IF(OR(C10=" ",OR(H10="",H10="")),"",H10/C10)</f>
        <v/>
      </c>
      <c r="J10" s="12" t="n"/>
      <c r="K10" s="6">
        <f>IF(OR(C10="",OR(J10="")),"",J10/C10)</f>
        <v/>
      </c>
      <c r="L10" s="12" t="n"/>
      <c r="M10" s="18">
        <f>IF(OR(C10=" ",OR(L10="",L10=0)),"",L10/C10)</f>
        <v/>
      </c>
      <c r="N10" s="4" t="n"/>
      <c r="O10" s="6">
        <f>IF(OR(C10=" ",OR(N10="",N10=0)),"",N10/C10)</f>
        <v/>
      </c>
      <c r="P10" s="6">
        <f>IF(OR(H10=0,H10=""),"",J10/H10)</f>
        <v/>
      </c>
      <c r="Q10" s="6">
        <f>IF(OR(H10=0,H10=""),"",SUM(D10:E10)/H10)</f>
        <v/>
      </c>
      <c r="R10" s="6">
        <f>IF(Q10="","",1-Q10)</f>
        <v/>
      </c>
      <c r="S10" s="6">
        <f>IF(OR(I10="",I10=0),"",I10)</f>
        <v/>
      </c>
      <c r="T10" s="13" t="n"/>
      <c r="U10" s="39" t="n"/>
      <c r="V10" s="39" t="n"/>
      <c r="W10" s="39" t="n"/>
      <c r="X10" s="39" t="n"/>
      <c r="Y10" s="39" t="n"/>
      <c r="Z10" s="39" t="n"/>
      <c r="AA10" s="39"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39" t="n"/>
      <c r="AZ10" s="39" t="n"/>
      <c r="BA10" s="39" t="n"/>
      <c r="BB10" s="39" t="n"/>
      <c r="BC10" s="39" t="n"/>
      <c r="BD10" s="39" t="n"/>
      <c r="BE10" s="39"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39" t="n"/>
      <c r="CF10" s="39" t="n"/>
      <c r="CG10" s="39" t="n"/>
      <c r="CH10" s="39" t="n"/>
      <c r="CI10" s="39" t="n"/>
      <c r="CJ10" s="39" t="n"/>
      <c r="CK10" s="39" t="n"/>
      <c r="CL10" s="39" t="n"/>
      <c r="CM10" s="39" t="n"/>
      <c r="CN10" s="39" t="n"/>
      <c r="CO10" s="39" t="n"/>
      <c r="CP10" s="39" t="n"/>
      <c r="CQ10" s="39" t="n"/>
      <c r="CR10" s="39" t="n"/>
      <c r="CS10" s="39" t="n"/>
      <c r="CT10" s="39" t="n"/>
      <c r="CU10" s="39" t="n"/>
      <c r="CV10" s="39" t="n"/>
      <c r="CW10" s="39" t="n"/>
      <c r="CX10" s="39" t="n"/>
      <c r="CY10" s="39" t="n"/>
      <c r="CZ10" s="39" t="n"/>
      <c r="DA10" s="39" t="n"/>
      <c r="DB10" s="39" t="n"/>
      <c r="DC10" s="39" t="n"/>
      <c r="DD10" s="39" t="n"/>
      <c r="DE10" s="39" t="n"/>
      <c r="DF10" s="39" t="n"/>
      <c r="DG10" s="39" t="n"/>
      <c r="DH10" s="39" t="n"/>
      <c r="DI10" s="39" t="n"/>
      <c r="DJ10" s="39" t="n"/>
      <c r="DK10" s="39" t="n"/>
      <c r="DL10" s="39" t="n"/>
      <c r="DM10" s="39" t="n"/>
      <c r="DN10" s="39" t="n"/>
      <c r="DO10" s="39" t="n"/>
      <c r="DP10" s="39" t="n"/>
      <c r="DQ10" s="39" t="n"/>
      <c r="DR10" s="39" t="n"/>
      <c r="DS10" s="39" t="n"/>
      <c r="DT10" s="39" t="n"/>
      <c r="DU10" s="39" t="n"/>
      <c r="DV10" s="39" t="n"/>
      <c r="DW10" s="39" t="n"/>
      <c r="DX10" s="39" t="n"/>
      <c r="DY10" s="39" t="n"/>
      <c r="DZ10" s="39" t="n"/>
      <c r="EA10" s="39" t="n"/>
      <c r="EB10" s="39" t="n"/>
      <c r="EC10" s="39" t="n"/>
      <c r="ED10" s="39" t="n"/>
      <c r="EE10" s="39" t="n"/>
      <c r="EF10" s="39" t="n"/>
      <c r="EG10" s="39" t="n"/>
      <c r="EH10" s="39" t="n"/>
      <c r="EI10" s="39" t="n"/>
      <c r="EJ10" s="39" t="n"/>
      <c r="EK10" s="39" t="n"/>
      <c r="EL10" s="39" t="n"/>
      <c r="EM10" s="39" t="n"/>
      <c r="EN10" s="39" t="n"/>
      <c r="EO10" s="39" t="n"/>
      <c r="EP10" s="39" t="n"/>
      <c r="EQ10" s="39" t="n"/>
      <c r="ER10" s="39" t="n"/>
      <c r="ES10" s="39" t="n"/>
      <c r="ET10" s="39" t="n"/>
      <c r="EU10" s="39" t="n"/>
      <c r="EV10" s="39" t="n"/>
      <c r="EW10" s="39" t="n"/>
      <c r="EX10" s="39" t="n"/>
      <c r="EY10" s="39" t="n"/>
      <c r="EZ10" s="39" t="n"/>
      <c r="FA10" s="39" t="n"/>
      <c r="FB10" s="39" t="n"/>
      <c r="FC10" s="39" t="n"/>
      <c r="FD10" s="39" t="n"/>
      <c r="FE10" s="39" t="n"/>
      <c r="FF10" s="39" t="n"/>
      <c r="FG10" s="39" t="n"/>
      <c r="FH10" s="39" t="n"/>
      <c r="FI10" s="39" t="n"/>
      <c r="FJ10" s="39" t="n"/>
      <c r="FK10" s="39" t="n"/>
      <c r="FL10" s="39" t="n"/>
      <c r="FM10" s="39" t="n"/>
      <c r="FN10" s="39" t="n"/>
      <c r="FO10" s="39" t="n"/>
      <c r="FP10" s="39" t="n"/>
      <c r="FQ10" s="39" t="n"/>
      <c r="FR10" s="39" t="n"/>
      <c r="FS10" s="39" t="n"/>
      <c r="FT10" s="39" t="n"/>
      <c r="FU10" s="39" t="n"/>
      <c r="FV10" s="39" t="n"/>
      <c r="FW10" s="39" t="n"/>
      <c r="FX10" s="39" t="n"/>
      <c r="FY10" s="39" t="n"/>
      <c r="FZ10" s="39" t="n"/>
      <c r="GA10" s="39" t="n"/>
      <c r="GB10" s="39" t="n"/>
      <c r="GC10" s="39" t="n"/>
      <c r="GD10" s="39" t="n"/>
      <c r="GE10" s="39" t="n"/>
      <c r="GF10" s="39" t="n"/>
      <c r="GG10" s="39" t="n"/>
      <c r="GH10" s="39" t="n"/>
      <c r="GI10" s="39" t="n"/>
      <c r="GJ10" s="39" t="n"/>
      <c r="GK10" s="39" t="n"/>
      <c r="GL10" s="39" t="n"/>
      <c r="GM10" s="39" t="n"/>
      <c r="GN10" s="39" t="n"/>
      <c r="GO10" s="39" t="n"/>
      <c r="GP10" s="39" t="n"/>
    </row>
    <row r="11" ht="14.4" customHeight="1" thickBot="1">
      <c r="B11" s="14" t="inlineStr">
        <is>
          <t>Total</t>
        </is>
      </c>
      <c r="C11" s="15">
        <f>IF(OR(C8=0,C8=""),"",SUM(C8:C10))</f>
        <v/>
      </c>
      <c r="D11" s="15">
        <f>IF(OR(D8=0,D8=""),"",SUM(D8:D10))</f>
        <v/>
      </c>
      <c r="E11" s="15">
        <f>IF(OR(E8=0,E8=""),"",SUM(E8:E10))</f>
        <v/>
      </c>
      <c r="F11" s="15">
        <f>IF(OR(F8=0,F8=""),"",SUM(F8:F10))</f>
        <v/>
      </c>
      <c r="G11" s="15">
        <f>IF(OR(G8=0,G8=""),"",SUM(G8:G10))</f>
        <v/>
      </c>
      <c r="H11" s="15">
        <f>IF(OR(H8=0,H8=""),"",SUM(H8:H10))</f>
        <v/>
      </c>
      <c r="I11" s="1">
        <f>IF(OR(H11=0,H11=""),"",AVERAGE(I8:I10))</f>
        <v/>
      </c>
      <c r="J11" s="15">
        <f>IF(OR(J8=0,J8=""),"",SUM(J8:J10))</f>
        <v/>
      </c>
      <c r="K11" s="1">
        <f>IF(OR(J11=0,J11=""),"",AVERAGE(K8:K10))</f>
        <v/>
      </c>
      <c r="L11" s="15">
        <f>IF(OR(L8=0,L8=""),"",SUM(L8:L10))</f>
        <v/>
      </c>
      <c r="M11" s="19">
        <f>IF(OR(L11=0,L11=""),"",AVERAGE(M8:M10))</f>
        <v/>
      </c>
      <c r="N11" s="20">
        <f>IF(OR(N8=0,N8=""),"",SUM(N8:N10))</f>
        <v/>
      </c>
      <c r="O11" s="1">
        <f>IF(OR(N11=0,N11=""),"",AVERAGE(O8:O10))</f>
        <v/>
      </c>
      <c r="P11" s="1">
        <f>IF(OR(P8=""),"",AVERAGE(P8:P10))</f>
        <v/>
      </c>
      <c r="Q11" s="1">
        <f>IF(OR(Q8=""),"",AVERAGE(Q8:Q10))</f>
        <v/>
      </c>
      <c r="R11" s="1">
        <f>IF(OR(R8=0,R8=""),"",AVERAGE(R8:R10))</f>
        <v/>
      </c>
      <c r="S11" s="1">
        <f>IF(OR(S8=0,S8=""),"",AVERAGE(S8:S10))</f>
        <v/>
      </c>
      <c r="T11" s="25"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c r="EH11" s="30" t="n"/>
      <c r="EI11" s="30" t="n"/>
      <c r="EJ11" s="30" t="n"/>
      <c r="EK11" s="30" t="n"/>
      <c r="EL11" s="30" t="n"/>
      <c r="EM11" s="30" t="n"/>
      <c r="EN11" s="30" t="n"/>
      <c r="EO11" s="30" t="n"/>
      <c r="EP11" s="30" t="n"/>
      <c r="EQ11" s="30" t="n"/>
      <c r="ER11" s="30" t="n"/>
      <c r="ES11" s="30" t="n"/>
      <c r="ET11" s="30" t="n"/>
      <c r="EU11" s="30" t="n"/>
      <c r="EV11" s="30" t="n"/>
      <c r="EW11" s="30" t="n"/>
      <c r="EX11" s="30" t="n"/>
      <c r="EY11" s="30" t="n"/>
      <c r="EZ11" s="30" t="n"/>
      <c r="FA11" s="30" t="n"/>
      <c r="FB11" s="30" t="n"/>
      <c r="FC11" s="30" t="n"/>
      <c r="FD11" s="30" t="n"/>
      <c r="FE11" s="30" t="n"/>
      <c r="FF11" s="30" t="n"/>
      <c r="FG11" s="30" t="n"/>
      <c r="FH11" s="30" t="n"/>
      <c r="FI11" s="30" t="n"/>
      <c r="FJ11" s="30" t="n"/>
      <c r="FK11" s="30" t="n"/>
      <c r="FL11" s="30" t="n"/>
      <c r="FM11" s="30" t="n"/>
      <c r="FN11" s="30" t="n"/>
      <c r="FO11" s="30" t="n"/>
      <c r="FP11" s="30" t="n"/>
      <c r="FQ11" s="30" t="n"/>
      <c r="FR11" s="30" t="n"/>
      <c r="FS11" s="30" t="n"/>
      <c r="FT11" s="30" t="n"/>
      <c r="FU11" s="30" t="n"/>
      <c r="FV11" s="30" t="n"/>
      <c r="FW11" s="30" t="n"/>
      <c r="FX11" s="30" t="n"/>
      <c r="FY11" s="30" t="n"/>
      <c r="FZ11" s="30" t="n"/>
      <c r="GA11" s="30" t="n"/>
      <c r="GB11" s="30" t="n"/>
      <c r="GC11" s="30" t="n"/>
      <c r="GD11" s="30" t="n"/>
      <c r="GE11" s="30" t="n"/>
      <c r="GF11" s="30" t="n"/>
      <c r="GG11" s="30" t="n"/>
      <c r="GH11" s="30" t="n"/>
      <c r="GI11" s="30" t="n"/>
      <c r="GJ11" s="30" t="n"/>
      <c r="GK11" s="30" t="n"/>
      <c r="GL11" s="30" t="n"/>
      <c r="GM11" s="30" t="n"/>
      <c r="GN11" s="30" t="n"/>
      <c r="GO11" s="30" t="n"/>
      <c r="GP11" s="30" t="n"/>
    </row>
    <row r="12">
      <c r="B12" s="34" t="n"/>
      <c r="C12" s="35" t="n"/>
      <c r="D12" s="32" t="n"/>
      <c r="E12" s="32" t="n"/>
      <c r="F12" s="35" t="n"/>
      <c r="G12" s="32" t="n"/>
      <c r="H12" s="32" t="n"/>
      <c r="I12" s="35" t="n"/>
      <c r="J12" s="32" t="n"/>
      <c r="K12" s="32" t="n"/>
      <c r="L12" s="32" t="n"/>
      <c r="M12" s="32" t="n"/>
      <c r="N12" s="32" t="n"/>
      <c r="O12" s="32" t="n"/>
      <c r="P12" s="32" t="n"/>
      <c r="Q12" s="32" t="n"/>
      <c r="R12" s="32" t="n"/>
      <c r="S12" s="32" t="n"/>
      <c r="T12" s="33" t="n"/>
      <c r="U12" s="4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c r="CJ12" s="30" t="n"/>
      <c r="CK12" s="30" t="n"/>
      <c r="CL12" s="30" t="n"/>
      <c r="CM12" s="30" t="n"/>
      <c r="CN12" s="30" t="n"/>
      <c r="CO12" s="30" t="n"/>
      <c r="CP12" s="30" t="n"/>
      <c r="CQ12" s="30" t="n"/>
      <c r="CR12" s="30" t="n"/>
      <c r="CS12" s="30" t="n"/>
      <c r="CT12" s="30" t="n"/>
      <c r="CU12" s="30" t="n"/>
      <c r="CV12" s="30" t="n"/>
      <c r="CW12" s="30" t="n"/>
      <c r="CX12" s="30" t="n"/>
      <c r="CY12" s="30" t="n"/>
      <c r="CZ12" s="30" t="n"/>
      <c r="DA12" s="30" t="n"/>
      <c r="DB12" s="30" t="n"/>
      <c r="DC12" s="30" t="n"/>
      <c r="DD12" s="30" t="n"/>
      <c r="DE12" s="30" t="n"/>
      <c r="DF12" s="30" t="n"/>
      <c r="DG12" s="30" t="n"/>
      <c r="DH12" s="30" t="n"/>
      <c r="DI12" s="30" t="n"/>
      <c r="DJ12" s="30" t="n"/>
      <c r="DK12" s="30" t="n"/>
      <c r="DL12" s="30" t="n"/>
      <c r="DM12" s="30" t="n"/>
      <c r="DN12" s="30" t="n"/>
      <c r="DO12" s="30" t="n"/>
      <c r="DP12" s="30" t="n"/>
      <c r="DQ12" s="30" t="n"/>
      <c r="DR12" s="30" t="n"/>
      <c r="DS12" s="30" t="n"/>
      <c r="DT12" s="30" t="n"/>
      <c r="DU12" s="30" t="n"/>
      <c r="DV12" s="30" t="n"/>
      <c r="DW12" s="30" t="n"/>
      <c r="DX12" s="30" t="n"/>
      <c r="DY12" s="30" t="n"/>
      <c r="DZ12" s="30" t="n"/>
      <c r="EA12" s="30" t="n"/>
      <c r="EB12" s="30" t="n"/>
      <c r="EC12" s="30" t="n"/>
      <c r="ED12" s="30" t="n"/>
      <c r="EE12" s="30" t="n"/>
      <c r="EF12" s="30" t="n"/>
      <c r="EG12" s="30" t="n"/>
      <c r="EH12" s="30" t="n"/>
      <c r="EI12" s="30" t="n"/>
      <c r="EJ12" s="30" t="n"/>
      <c r="EK12" s="30" t="n"/>
      <c r="EL12" s="30" t="n"/>
      <c r="EM12" s="30" t="n"/>
      <c r="EN12" s="30" t="n"/>
      <c r="EO12" s="30" t="n"/>
      <c r="EP12" s="30" t="n"/>
      <c r="EQ12" s="30" t="n"/>
      <c r="ER12" s="30" t="n"/>
      <c r="ES12" s="30" t="n"/>
      <c r="ET12" s="30" t="n"/>
      <c r="EU12" s="30" t="n"/>
      <c r="EV12" s="30" t="n"/>
      <c r="EW12" s="30" t="n"/>
      <c r="EX12" s="30" t="n"/>
      <c r="EY12" s="30" t="n"/>
      <c r="EZ12" s="30" t="n"/>
      <c r="FA12" s="30" t="n"/>
      <c r="FB12" s="30" t="n"/>
      <c r="FC12" s="30" t="n"/>
      <c r="FD12" s="30" t="n"/>
      <c r="FE12" s="30" t="n"/>
      <c r="FF12" s="30" t="n"/>
      <c r="FG12" s="30" t="n"/>
      <c r="FH12" s="30" t="n"/>
      <c r="FI12" s="30" t="n"/>
      <c r="FJ12" s="30" t="n"/>
      <c r="FK12" s="30" t="n"/>
      <c r="FL12" s="30" t="n"/>
      <c r="FM12" s="30" t="n"/>
      <c r="FN12" s="30" t="n"/>
      <c r="FO12" s="30" t="n"/>
      <c r="FP12" s="30" t="n"/>
      <c r="FQ12" s="30" t="n"/>
      <c r="FR12" s="30" t="n"/>
      <c r="FS12" s="30" t="n"/>
      <c r="FT12" s="30" t="n"/>
      <c r="FU12" s="30" t="n"/>
      <c r="FV12" s="30" t="n"/>
      <c r="FW12" s="30" t="n"/>
      <c r="FX12" s="30" t="n"/>
      <c r="FY12" s="30" t="n"/>
      <c r="FZ12" s="30" t="n"/>
      <c r="GA12" s="30" t="n"/>
      <c r="GB12" s="30" t="n"/>
      <c r="GC12" s="30" t="n"/>
      <c r="GD12" s="30" t="n"/>
      <c r="GE12" s="30" t="n"/>
      <c r="GF12" s="30" t="n"/>
      <c r="GG12" s="30" t="n"/>
      <c r="GH12" s="30" t="n"/>
      <c r="GI12" s="30" t="n"/>
      <c r="GJ12" s="30" t="n"/>
      <c r="GK12" s="30" t="n"/>
      <c r="GL12" s="30" t="n"/>
      <c r="GM12" s="30" t="n"/>
      <c r="GN12" s="30" t="n"/>
      <c r="GO12" s="30" t="n"/>
      <c r="GP12" s="30" t="n"/>
    </row>
    <row r="13" ht="13.8" customHeight="1" thickBot="1">
      <c r="B13" s="36" t="n"/>
      <c r="C13" s="31" t="n"/>
      <c r="D13" s="31" t="n"/>
      <c r="E13" s="31" t="n"/>
      <c r="F13" s="31" t="n"/>
      <c r="G13" s="31" t="n"/>
      <c r="H13" s="31" t="n"/>
      <c r="I13" s="31" t="n"/>
      <c r="J13" s="31" t="n"/>
      <c r="K13" s="31" t="n"/>
      <c r="L13" s="31" t="n"/>
      <c r="M13" s="31" t="n"/>
      <c r="N13" s="31" t="n"/>
      <c r="O13" s="31" t="n"/>
      <c r="P13" s="31" t="n"/>
      <c r="Q13" s="31" t="n"/>
      <c r="R13" s="31" t="n"/>
      <c r="S13" s="31" t="n"/>
      <c r="T13" s="37"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row>
    <row r="14" ht="13.8" customHeight="1" thickBot="1">
      <c r="B14" s="41" t="inlineStr">
        <is>
          <t>Análisis de Resultados IT II</t>
        </is>
      </c>
      <c r="C14" s="42" t="n"/>
      <c r="D14" s="43" t="n"/>
      <c r="E14" s="43" t="n"/>
      <c r="F14" s="42" t="n"/>
      <c r="G14" s="43" t="n"/>
      <c r="H14" s="43" t="n"/>
      <c r="I14" s="42" t="n"/>
      <c r="J14" s="43" t="n"/>
      <c r="K14" s="44" t="n"/>
      <c r="L14" s="44" t="n"/>
      <c r="M14" s="44" t="n"/>
      <c r="N14" s="44" t="n"/>
      <c r="O14" s="44" t="n"/>
      <c r="P14" s="44" t="n"/>
      <c r="Q14" s="44" t="n"/>
      <c r="R14" s="44" t="n"/>
      <c r="S14" s="44" t="n"/>
      <c r="T14" s="45"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row>
    <row r="15" ht="13.5" customHeight="1" thickBot="1">
      <c r="B15" s="9" t="inlineStr">
        <is>
          <t>Funcionalidad o Requerimiento</t>
        </is>
      </c>
      <c r="C15" s="9" t="inlineStr">
        <is>
          <t>Nro. Reqs Prueba</t>
        </is>
      </c>
      <c r="D15" s="9" t="inlineStr">
        <is>
          <t>No Conformidades</t>
        </is>
      </c>
      <c r="E15" s="175" t="n"/>
      <c r="F15" s="176" t="n"/>
      <c r="G15" s="9" t="inlineStr">
        <is>
          <t>NC Anulados</t>
        </is>
      </c>
      <c r="H15" s="181" t="inlineStr">
        <is>
          <t>Resultados</t>
        </is>
      </c>
      <c r="I15" s="175" t="n"/>
      <c r="J15" s="175" t="n"/>
      <c r="K15" s="175" t="n"/>
      <c r="L15" s="175" t="n"/>
      <c r="M15" s="175" t="n"/>
      <c r="N15" s="175" t="n"/>
      <c r="O15" s="176" t="n"/>
      <c r="P15" s="9" t="inlineStr">
        <is>
          <t>Correctitud</t>
        </is>
      </c>
      <c r="Q15" s="9" t="inlineStr">
        <is>
          <t>Densidad NC</t>
        </is>
      </c>
      <c r="R15" s="9" t="inlineStr">
        <is>
          <t>Confiab.</t>
        </is>
      </c>
      <c r="S15" s="9" t="inlineStr">
        <is>
          <t>Cobertura</t>
        </is>
      </c>
      <c r="T15" s="9" t="inlineStr">
        <is>
          <t>Observaciones</t>
        </is>
      </c>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row>
    <row r="16" ht="13.8" customHeight="1" thickBot="1">
      <c r="B16" s="178" t="n"/>
      <c r="C16" s="178" t="n"/>
      <c r="D16" s="9" t="inlineStr">
        <is>
          <t>Bloqueante</t>
        </is>
      </c>
      <c r="E16" s="9" t="inlineStr">
        <is>
          <t>Funcional</t>
        </is>
      </c>
      <c r="F16" s="9" t="inlineStr">
        <is>
          <t>Presentación</t>
        </is>
      </c>
      <c r="G16" s="178" t="n"/>
      <c r="H16" s="181" t="inlineStr">
        <is>
          <t>Ejecutados</t>
        </is>
      </c>
      <c r="I16" s="176" t="n"/>
      <c r="J16" s="179" t="inlineStr">
        <is>
          <t>OK</t>
        </is>
      </c>
      <c r="K16" s="180" t="n"/>
      <c r="L16" s="182" t="inlineStr">
        <is>
          <t>NOK</t>
        </is>
      </c>
      <c r="M16" s="180" t="n"/>
      <c r="N16" s="181" t="inlineStr">
        <is>
          <t>PDTE</t>
        </is>
      </c>
      <c r="O16" s="176" t="n"/>
      <c r="P16" s="178" t="n"/>
      <c r="Q16" s="178" t="n"/>
      <c r="R16" s="178" t="n"/>
      <c r="S16" s="178" t="n"/>
      <c r="T16" s="178"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c r="EH16" s="30" t="n"/>
      <c r="EI16" s="30" t="n"/>
      <c r="EJ16" s="30" t="n"/>
      <c r="EK16" s="30" t="n"/>
      <c r="EL16" s="30" t="n"/>
      <c r="EM16" s="30" t="n"/>
      <c r="EN16" s="30" t="n"/>
      <c r="EO16" s="30" t="n"/>
      <c r="EP16" s="30" t="n"/>
      <c r="EQ16" s="30" t="n"/>
      <c r="ER16" s="30" t="n"/>
      <c r="ES16" s="30" t="n"/>
      <c r="ET16" s="30" t="n"/>
      <c r="EU16" s="30" t="n"/>
      <c r="EV16" s="30" t="n"/>
      <c r="EW16" s="30" t="n"/>
      <c r="EX16" s="30" t="n"/>
      <c r="EY16" s="30" t="n"/>
      <c r="EZ16" s="30" t="n"/>
      <c r="FA16" s="30" t="n"/>
      <c r="FB16" s="30" t="n"/>
      <c r="FC16" s="30" t="n"/>
      <c r="FD16" s="30" t="n"/>
      <c r="FE16" s="30" t="n"/>
      <c r="FF16" s="30" t="n"/>
      <c r="FG16" s="30" t="n"/>
      <c r="FH16" s="30" t="n"/>
      <c r="FI16" s="30" t="n"/>
      <c r="FJ16" s="30" t="n"/>
      <c r="FK16" s="30" t="n"/>
      <c r="FL16" s="30" t="n"/>
      <c r="FM16" s="30" t="n"/>
      <c r="FN16" s="30" t="n"/>
      <c r="FO16" s="30" t="n"/>
      <c r="FP16" s="30" t="n"/>
      <c r="FQ16" s="30" t="n"/>
      <c r="FR16" s="30" t="n"/>
      <c r="FS16" s="30" t="n"/>
      <c r="FT16" s="30" t="n"/>
      <c r="FU16" s="30" t="n"/>
      <c r="FV16" s="30" t="n"/>
      <c r="FW16" s="30" t="n"/>
      <c r="FX16" s="30" t="n"/>
      <c r="FY16" s="30" t="n"/>
      <c r="FZ16" s="30" t="n"/>
      <c r="GA16" s="30" t="n"/>
      <c r="GB16" s="30" t="n"/>
      <c r="GC16" s="30" t="n"/>
      <c r="GD16" s="30" t="n"/>
      <c r="GE16" s="30" t="n"/>
      <c r="GF16" s="30" t="n"/>
      <c r="GG16" s="30" t="n"/>
      <c r="GH16" s="30" t="n"/>
      <c r="GI16" s="30" t="n"/>
      <c r="GJ16" s="30" t="n"/>
      <c r="GK16" s="30" t="n"/>
      <c r="GL16" s="30" t="n"/>
      <c r="GM16" s="30" t="n"/>
      <c r="GN16" s="30" t="n"/>
      <c r="GO16" s="30" t="n"/>
      <c r="GP16" s="30" t="n"/>
    </row>
    <row r="17" customFormat="1" s="7">
      <c r="B17" s="22">
        <f>IF(#REF!=0,"",#REF!)</f>
        <v/>
      </c>
      <c r="C17" s="17">
        <f>IF(COUNTIF(#REF!,"OK")+COUNTIF(#REF!,"NOK")+COUNTIF(#REF!,"PDTE")+COUNTIF(#REF!,"N/A")=0,"",COUNTIF(#REF!,"OK")+COUNTIF(#REF!,"NOK")+COUNTIF(#REF!,"PDTE")+COUNTIF(#REF!,"N/A"))</f>
        <v/>
      </c>
      <c r="D17" s="10" t="n"/>
      <c r="E17" s="10" t="n"/>
      <c r="F17" s="10" t="n"/>
      <c r="G17" s="17">
        <f>IF(COUNTIF(#REF!,"N/A")=0,"",COUNTIF(#REF!,"N/A"))</f>
        <v/>
      </c>
      <c r="H17" s="17">
        <f>IF(COUNTIF(#REF!,"OK")+COUNTIF(#REF!,"NOK")=0,"",COUNTIF(#REF!,"OK")+COUNTIF(#REF!,"NOK"))</f>
        <v/>
      </c>
      <c r="I17" s="6">
        <f>IF(OR(C17=" ",OR(H17="",H17=0)),"",H17/C17)</f>
        <v/>
      </c>
      <c r="J17" s="23">
        <f>IF(COUNTIF(#REF!,"OK")=0,"",COUNTIF(#REF!,"OK"))</f>
        <v/>
      </c>
      <c r="K17" s="6">
        <f>IF(OR(C17=" ",OR(J17="",J17=0)),"",J17/C17)</f>
        <v/>
      </c>
      <c r="L17" s="23">
        <f>IF(COUNTIF(#REF!,"NOK")=0,"",COUNTIF(#REF!,"NOK"))</f>
        <v/>
      </c>
      <c r="M17" s="6">
        <f>IF(OR(C17=" ",OR(L17="",L17=0)),"",L17/C17)</f>
        <v/>
      </c>
      <c r="N17" s="23">
        <f>IF(COUNTIF(#REF!,"PDTE")=0,"",COUNTIF(#REF!,"PDTE"))</f>
        <v/>
      </c>
      <c r="O17" s="6">
        <f>IF(OR(C17=" ",OR(N17="",N17=0)),"",N17/C17)</f>
        <v/>
      </c>
      <c r="P17" s="6">
        <f>IF(OR(H17=0,H17=""),"",SUM(J17)/H17)</f>
        <v/>
      </c>
      <c r="Q17" s="6">
        <f>IF(OR(H17=0,H17=""),"",SUM(D17:F17)/H17)</f>
        <v/>
      </c>
      <c r="R17" s="6">
        <f>IF(Q17="","",1-Q17)</f>
        <v/>
      </c>
      <c r="S17" s="6">
        <f>IF(OR(I17="",I17=0),"",I17)</f>
        <v/>
      </c>
      <c r="T17" s="24"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39" t="n"/>
      <c r="BI17" s="39" t="n"/>
      <c r="BJ17" s="39" t="n"/>
      <c r="BK17" s="39" t="n"/>
      <c r="BL17" s="39" t="n"/>
      <c r="BM17" s="39" t="n"/>
      <c r="BN17" s="39" t="n"/>
      <c r="BO17" s="39" t="n"/>
      <c r="BP17" s="39" t="n"/>
      <c r="BQ17" s="39" t="n"/>
      <c r="BR17" s="39" t="n"/>
      <c r="BS17" s="39" t="n"/>
      <c r="BT17" s="39" t="n"/>
      <c r="BU17" s="39" t="n"/>
      <c r="BV17" s="39" t="n"/>
      <c r="BW17" s="3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c r="CQ17" s="39" t="n"/>
      <c r="CR17" s="39" t="n"/>
      <c r="CS17" s="39" t="n"/>
      <c r="CT17" s="39" t="n"/>
      <c r="CU17" s="39" t="n"/>
      <c r="CV17" s="39" t="n"/>
      <c r="CW17" s="39" t="n"/>
      <c r="CX17" s="39" t="n"/>
      <c r="CY17" s="39" t="n"/>
      <c r="CZ17" s="39" t="n"/>
      <c r="DA17" s="39" t="n"/>
      <c r="DB17" s="39" t="n"/>
      <c r="DC17" s="39" t="n"/>
      <c r="DD17" s="39" t="n"/>
      <c r="DE17" s="39" t="n"/>
      <c r="DF17" s="39" t="n"/>
      <c r="DG17" s="39" t="n"/>
      <c r="DH17" s="39" t="n"/>
      <c r="DI17" s="39" t="n"/>
      <c r="DJ17" s="39" t="n"/>
      <c r="DK17" s="39" t="n"/>
      <c r="DL17" s="39" t="n"/>
      <c r="DM17" s="39" t="n"/>
      <c r="DN17" s="39" t="n"/>
      <c r="DO17" s="39" t="n"/>
      <c r="DP17" s="39" t="n"/>
      <c r="DQ17" s="39" t="n"/>
      <c r="DR17" s="39" t="n"/>
      <c r="DS17" s="39" t="n"/>
      <c r="DT17" s="39" t="n"/>
      <c r="DU17" s="39" t="n"/>
      <c r="DV17" s="39" t="n"/>
      <c r="DW17" s="39" t="n"/>
      <c r="DX17" s="39" t="n"/>
      <c r="DY17" s="39" t="n"/>
      <c r="DZ17" s="39" t="n"/>
      <c r="EA17" s="39" t="n"/>
      <c r="EB17" s="39" t="n"/>
      <c r="EC17" s="39" t="n"/>
      <c r="ED17" s="39" t="n"/>
      <c r="EE17" s="39" t="n"/>
      <c r="EF17" s="39" t="n"/>
      <c r="EG17" s="39" t="n"/>
      <c r="EH17" s="39" t="n"/>
      <c r="EI17" s="39" t="n"/>
      <c r="EJ17" s="39" t="n"/>
      <c r="EK17" s="39" t="n"/>
      <c r="EL17" s="39" t="n"/>
      <c r="EM17" s="39" t="n"/>
      <c r="EN17" s="39" t="n"/>
      <c r="EO17" s="39" t="n"/>
      <c r="EP17" s="39" t="n"/>
      <c r="EQ17" s="39" t="n"/>
      <c r="ER17" s="39" t="n"/>
      <c r="ES17" s="39" t="n"/>
      <c r="ET17" s="39" t="n"/>
      <c r="EU17" s="39" t="n"/>
      <c r="EV17" s="39" t="n"/>
      <c r="EW17" s="39" t="n"/>
      <c r="EX17" s="39" t="n"/>
      <c r="EY17" s="39" t="n"/>
      <c r="EZ17" s="39" t="n"/>
      <c r="FA17" s="39" t="n"/>
      <c r="FB17" s="39" t="n"/>
      <c r="FC17" s="39" t="n"/>
      <c r="FD17" s="39" t="n"/>
      <c r="FE17" s="39" t="n"/>
      <c r="FF17" s="39" t="n"/>
      <c r="FG17" s="39" t="n"/>
      <c r="FH17" s="39" t="n"/>
      <c r="FI17" s="39" t="n"/>
      <c r="FJ17" s="39" t="n"/>
      <c r="FK17" s="39" t="n"/>
      <c r="FL17" s="39" t="n"/>
      <c r="FM17" s="39" t="n"/>
      <c r="FN17" s="39" t="n"/>
      <c r="FO17" s="39" t="n"/>
      <c r="FP17" s="39" t="n"/>
      <c r="FQ17" s="39" t="n"/>
      <c r="FR17" s="39" t="n"/>
      <c r="FS17" s="39" t="n"/>
      <c r="FT17" s="39" t="n"/>
      <c r="FU17" s="39" t="n"/>
      <c r="FV17" s="39" t="n"/>
      <c r="FW17" s="39" t="n"/>
      <c r="FX17" s="39" t="n"/>
      <c r="FY17" s="39" t="n"/>
      <c r="FZ17" s="39" t="n"/>
      <c r="GA17" s="39" t="n"/>
      <c r="GB17" s="39" t="n"/>
      <c r="GC17" s="39" t="n"/>
      <c r="GD17" s="39" t="n"/>
      <c r="GE17" s="39" t="n"/>
      <c r="GF17" s="39" t="n"/>
      <c r="GG17" s="39" t="n"/>
      <c r="GH17" s="39" t="n"/>
      <c r="GI17" s="39" t="n"/>
      <c r="GJ17" s="39" t="n"/>
      <c r="GK17" s="39" t="n"/>
      <c r="GL17" s="39" t="n"/>
      <c r="GM17" s="39" t="n"/>
      <c r="GN17" s="39" t="n"/>
      <c r="GO17" s="39" t="n"/>
      <c r="GP17" s="39" t="n"/>
    </row>
    <row r="18" customFormat="1" s="7">
      <c r="B18" s="2" t="n"/>
      <c r="C18" s="4" t="n"/>
      <c r="D18" s="4" t="n"/>
      <c r="E18" s="4" t="n"/>
      <c r="F18" s="4" t="n"/>
      <c r="G18" s="4" t="n"/>
      <c r="H18" s="4" t="n"/>
      <c r="I18" s="6">
        <f>IF(OR(C18=" ",OR(H18="",H18=0)),"",H18/C18)</f>
        <v/>
      </c>
      <c r="J18" s="12" t="n"/>
      <c r="K18" s="6">
        <f>IF(OR(C18=" ",OR(J18="",J18=0)),"",J18/C18)</f>
        <v/>
      </c>
      <c r="L18" s="12" t="n"/>
      <c r="M18" s="6">
        <f>IF(OR(C18=" ",OR(L18="",L18=0)),"",L18/C18)</f>
        <v/>
      </c>
      <c r="N18" s="11" t="n"/>
      <c r="O18" s="6">
        <f>IF(OR(C18=" ",OR(N18="",N18=0)),"",N18/C18)</f>
        <v/>
      </c>
      <c r="P18" s="6">
        <f>IF(OR(H18=0,H18=""),"",J18/H18)</f>
        <v/>
      </c>
      <c r="Q18" s="6">
        <f>IF(OR(H18=0,H18=""),"",SUM(D18:E18)/H18)</f>
        <v/>
      </c>
      <c r="R18" s="6">
        <f>IF(Q18="","",1-Q18)</f>
        <v/>
      </c>
      <c r="S18" s="6">
        <f>IF(OR(I18="",I18=0),"",I18)</f>
        <v/>
      </c>
      <c r="T18" s="13"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39" t="n"/>
      <c r="BI18" s="39" t="n"/>
      <c r="BJ18" s="39" t="n"/>
      <c r="BK18" s="39" t="n"/>
      <c r="BL18" s="39" t="n"/>
      <c r="BM18" s="39" t="n"/>
      <c r="BN18" s="39" t="n"/>
      <c r="BO18" s="39" t="n"/>
      <c r="BP18" s="39" t="n"/>
      <c r="BQ18" s="39" t="n"/>
      <c r="BR18" s="39" t="n"/>
      <c r="BS18" s="39" t="n"/>
      <c r="BT18" s="39" t="n"/>
      <c r="BU18" s="39" t="n"/>
      <c r="BV18" s="39" t="n"/>
      <c r="BW18" s="39" t="n"/>
      <c r="BX18" s="39" t="n"/>
      <c r="BY18" s="39" t="n"/>
      <c r="BZ18" s="39" t="n"/>
      <c r="CA18" s="39" t="n"/>
      <c r="CB18" s="39" t="n"/>
      <c r="CC18" s="39" t="n"/>
      <c r="CD18" s="39" t="n"/>
      <c r="CE18" s="39" t="n"/>
      <c r="CF18" s="39" t="n"/>
      <c r="CG18" s="39" t="n"/>
      <c r="CH18" s="39" t="n"/>
      <c r="CI18" s="39" t="n"/>
      <c r="CJ18" s="39" t="n"/>
      <c r="CK18" s="39" t="n"/>
      <c r="CL18" s="39" t="n"/>
      <c r="CM18" s="39" t="n"/>
      <c r="CN18" s="39" t="n"/>
      <c r="CO18" s="39" t="n"/>
      <c r="CP18" s="39" t="n"/>
      <c r="CQ18" s="39" t="n"/>
      <c r="CR18" s="39" t="n"/>
      <c r="CS18" s="39" t="n"/>
      <c r="CT18" s="39" t="n"/>
      <c r="CU18" s="39" t="n"/>
      <c r="CV18" s="39" t="n"/>
      <c r="CW18" s="39" t="n"/>
      <c r="CX18" s="39" t="n"/>
      <c r="CY18" s="39" t="n"/>
      <c r="CZ18" s="39" t="n"/>
      <c r="DA18" s="39" t="n"/>
      <c r="DB18" s="39" t="n"/>
      <c r="DC18" s="39" t="n"/>
      <c r="DD18" s="39" t="n"/>
      <c r="DE18" s="39" t="n"/>
      <c r="DF18" s="39" t="n"/>
      <c r="DG18" s="39" t="n"/>
      <c r="DH18" s="39" t="n"/>
      <c r="DI18" s="39" t="n"/>
      <c r="DJ18" s="39" t="n"/>
      <c r="DK18" s="39" t="n"/>
      <c r="DL18" s="39" t="n"/>
      <c r="DM18" s="39" t="n"/>
      <c r="DN18" s="39" t="n"/>
      <c r="DO18" s="39" t="n"/>
      <c r="DP18" s="39" t="n"/>
      <c r="DQ18" s="39" t="n"/>
      <c r="DR18" s="39" t="n"/>
      <c r="DS18" s="39" t="n"/>
      <c r="DT18" s="39" t="n"/>
      <c r="DU18" s="39" t="n"/>
      <c r="DV18" s="39" t="n"/>
      <c r="DW18" s="39" t="n"/>
      <c r="DX18" s="39" t="n"/>
      <c r="DY18" s="39" t="n"/>
      <c r="DZ18" s="39" t="n"/>
      <c r="EA18" s="39" t="n"/>
      <c r="EB18" s="39" t="n"/>
      <c r="EC18" s="39" t="n"/>
      <c r="ED18" s="39" t="n"/>
      <c r="EE18" s="39" t="n"/>
      <c r="EF18" s="39" t="n"/>
      <c r="EG18" s="39" t="n"/>
      <c r="EH18" s="39" t="n"/>
      <c r="EI18" s="39" t="n"/>
      <c r="EJ18" s="39" t="n"/>
      <c r="EK18" s="39" t="n"/>
      <c r="EL18" s="39" t="n"/>
      <c r="EM18" s="39" t="n"/>
      <c r="EN18" s="39" t="n"/>
      <c r="EO18" s="39" t="n"/>
      <c r="EP18" s="39" t="n"/>
      <c r="EQ18" s="39" t="n"/>
      <c r="ER18" s="39" t="n"/>
      <c r="ES18" s="39" t="n"/>
      <c r="ET18" s="39" t="n"/>
      <c r="EU18" s="39" t="n"/>
      <c r="EV18" s="39" t="n"/>
      <c r="EW18" s="39" t="n"/>
      <c r="EX18" s="39" t="n"/>
      <c r="EY18" s="39" t="n"/>
      <c r="EZ18" s="39" t="n"/>
      <c r="FA18" s="39" t="n"/>
      <c r="FB18" s="39" t="n"/>
      <c r="FC18" s="39" t="n"/>
      <c r="FD18" s="39" t="n"/>
      <c r="FE18" s="39" t="n"/>
      <c r="FF18" s="39" t="n"/>
      <c r="FG18" s="39" t="n"/>
      <c r="FH18" s="39" t="n"/>
      <c r="FI18" s="39" t="n"/>
      <c r="FJ18" s="39" t="n"/>
      <c r="FK18" s="39" t="n"/>
      <c r="FL18" s="39" t="n"/>
      <c r="FM18" s="39" t="n"/>
      <c r="FN18" s="39" t="n"/>
      <c r="FO18" s="39" t="n"/>
      <c r="FP18" s="39" t="n"/>
      <c r="FQ18" s="39" t="n"/>
      <c r="FR18" s="39" t="n"/>
      <c r="FS18" s="39" t="n"/>
      <c r="FT18" s="39" t="n"/>
      <c r="FU18" s="39" t="n"/>
      <c r="FV18" s="39" t="n"/>
      <c r="FW18" s="39" t="n"/>
      <c r="FX18" s="39" t="n"/>
      <c r="FY18" s="39" t="n"/>
      <c r="FZ18" s="39" t="n"/>
      <c r="GA18" s="39" t="n"/>
      <c r="GB18" s="39" t="n"/>
      <c r="GC18" s="39" t="n"/>
      <c r="GD18" s="39" t="n"/>
      <c r="GE18" s="39" t="n"/>
      <c r="GF18" s="39" t="n"/>
      <c r="GG18" s="39" t="n"/>
      <c r="GH18" s="39" t="n"/>
      <c r="GI18" s="39" t="n"/>
      <c r="GJ18" s="39" t="n"/>
      <c r="GK18" s="39" t="n"/>
      <c r="GL18" s="39" t="n"/>
      <c r="GM18" s="39" t="n"/>
      <c r="GN18" s="39" t="n"/>
      <c r="GO18" s="39" t="n"/>
      <c r="GP18" s="39" t="n"/>
    </row>
    <row r="19" customFormat="1" s="7">
      <c r="B19" s="2" t="n"/>
      <c r="C19" s="4" t="n"/>
      <c r="D19" s="4" t="n"/>
      <c r="E19" s="4" t="n"/>
      <c r="F19" s="4" t="n"/>
      <c r="G19" s="4" t="n"/>
      <c r="H19" s="4" t="n"/>
      <c r="I19" s="6">
        <f>IF(OR(C19=" ",OR(H19="",H19=0)),"",H19/C19)</f>
        <v/>
      </c>
      <c r="J19" s="12" t="n"/>
      <c r="K19" s="6">
        <f>IF(OR(C19=" ",OR(J19="",J19=0)),"",J19/C19)</f>
        <v/>
      </c>
      <c r="L19" s="12" t="n"/>
      <c r="M19" s="6">
        <f>IF(OR(C19=" ",OR(L19="",L19=0)),"",L19/C19)</f>
        <v/>
      </c>
      <c r="N19" s="11" t="n"/>
      <c r="O19" s="6">
        <f>IF(OR(C19=" ",OR(N19="",N19=0)),"",N19/C19)</f>
        <v/>
      </c>
      <c r="P19" s="6">
        <f>IF(OR(H19=0,H19=""),"",J19/H19)</f>
        <v/>
      </c>
      <c r="Q19" s="6">
        <f>IF(OR(H19=0,H19=""),"",SUM(D19:E19)/H19)</f>
        <v/>
      </c>
      <c r="R19" s="6">
        <f>IF(Q19="","",1-Q19)</f>
        <v/>
      </c>
      <c r="S19" s="6">
        <f>IF(OR(I19="",I19=0),"",I19)</f>
        <v/>
      </c>
      <c r="T19" s="13"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c r="BA19" s="39" t="n"/>
      <c r="BB19" s="39" t="n"/>
      <c r="BC19" s="39" t="n"/>
      <c r="BD19" s="39" t="n"/>
      <c r="BE19" s="39" t="n"/>
      <c r="BF19" s="39" t="n"/>
      <c r="BG19" s="39" t="n"/>
      <c r="BH19" s="39" t="n"/>
      <c r="BI19" s="39" t="n"/>
      <c r="BJ19" s="39" t="n"/>
      <c r="BK19" s="39" t="n"/>
      <c r="BL19" s="39" t="n"/>
      <c r="BM19" s="39" t="n"/>
      <c r="BN19" s="39" t="n"/>
      <c r="BO19" s="39" t="n"/>
      <c r="BP19" s="39" t="n"/>
      <c r="BQ19" s="39" t="n"/>
      <c r="BR19" s="39" t="n"/>
      <c r="BS19" s="39" t="n"/>
      <c r="BT19" s="39" t="n"/>
      <c r="BU19" s="39" t="n"/>
      <c r="BV19" s="39" t="n"/>
      <c r="BW19" s="39" t="n"/>
      <c r="BX19" s="39" t="n"/>
      <c r="BY19" s="39" t="n"/>
      <c r="BZ19" s="39" t="n"/>
      <c r="CA19" s="39" t="n"/>
      <c r="CB19" s="39" t="n"/>
      <c r="CC19" s="39" t="n"/>
      <c r="CD19" s="39" t="n"/>
      <c r="CE19" s="39" t="n"/>
      <c r="CF19" s="39" t="n"/>
      <c r="CG19" s="39" t="n"/>
      <c r="CH19" s="39" t="n"/>
      <c r="CI19" s="39" t="n"/>
      <c r="CJ19" s="39" t="n"/>
      <c r="CK19" s="39" t="n"/>
      <c r="CL19" s="39" t="n"/>
      <c r="CM19" s="39" t="n"/>
      <c r="CN19" s="39" t="n"/>
      <c r="CO19" s="39" t="n"/>
      <c r="CP19" s="39" t="n"/>
      <c r="CQ19" s="39" t="n"/>
      <c r="CR19" s="39" t="n"/>
      <c r="CS19" s="39" t="n"/>
      <c r="CT19" s="39" t="n"/>
      <c r="CU19" s="39" t="n"/>
      <c r="CV19" s="39" t="n"/>
      <c r="CW19" s="39" t="n"/>
      <c r="CX19" s="39" t="n"/>
      <c r="CY19" s="39" t="n"/>
      <c r="CZ19" s="39" t="n"/>
      <c r="DA19" s="39" t="n"/>
      <c r="DB19" s="39" t="n"/>
      <c r="DC19" s="39" t="n"/>
      <c r="DD19" s="39" t="n"/>
      <c r="DE19" s="39" t="n"/>
      <c r="DF19" s="39" t="n"/>
      <c r="DG19" s="39" t="n"/>
      <c r="DH19" s="39" t="n"/>
      <c r="DI19" s="39" t="n"/>
      <c r="DJ19" s="39" t="n"/>
      <c r="DK19" s="39" t="n"/>
      <c r="DL19" s="39" t="n"/>
      <c r="DM19" s="39" t="n"/>
      <c r="DN19" s="39" t="n"/>
      <c r="DO19" s="39" t="n"/>
      <c r="DP19" s="39" t="n"/>
      <c r="DQ19" s="39" t="n"/>
      <c r="DR19" s="39" t="n"/>
      <c r="DS19" s="39" t="n"/>
      <c r="DT19" s="39" t="n"/>
      <c r="DU19" s="39" t="n"/>
      <c r="DV19" s="39" t="n"/>
      <c r="DW19" s="39" t="n"/>
      <c r="DX19" s="39" t="n"/>
      <c r="DY19" s="39" t="n"/>
      <c r="DZ19" s="39" t="n"/>
      <c r="EA19" s="39" t="n"/>
      <c r="EB19" s="39" t="n"/>
      <c r="EC19" s="39" t="n"/>
      <c r="ED19" s="39" t="n"/>
      <c r="EE19" s="39" t="n"/>
      <c r="EF19" s="39" t="n"/>
      <c r="EG19" s="39" t="n"/>
      <c r="EH19" s="39" t="n"/>
      <c r="EI19" s="39" t="n"/>
      <c r="EJ19" s="39" t="n"/>
      <c r="EK19" s="39" t="n"/>
      <c r="EL19" s="39" t="n"/>
      <c r="EM19" s="39" t="n"/>
      <c r="EN19" s="39" t="n"/>
      <c r="EO19" s="39" t="n"/>
      <c r="EP19" s="39" t="n"/>
      <c r="EQ19" s="39" t="n"/>
      <c r="ER19" s="39" t="n"/>
      <c r="ES19" s="39" t="n"/>
      <c r="ET19" s="39" t="n"/>
      <c r="EU19" s="39" t="n"/>
      <c r="EV19" s="39" t="n"/>
      <c r="EW19" s="39" t="n"/>
      <c r="EX19" s="39" t="n"/>
      <c r="EY19" s="39" t="n"/>
      <c r="EZ19" s="39" t="n"/>
      <c r="FA19" s="39" t="n"/>
      <c r="FB19" s="39" t="n"/>
      <c r="FC19" s="39" t="n"/>
      <c r="FD19" s="39" t="n"/>
      <c r="FE19" s="39" t="n"/>
      <c r="FF19" s="39" t="n"/>
      <c r="FG19" s="39" t="n"/>
      <c r="FH19" s="39" t="n"/>
      <c r="FI19" s="39" t="n"/>
      <c r="FJ19" s="39" t="n"/>
      <c r="FK19" s="39" t="n"/>
      <c r="FL19" s="39" t="n"/>
      <c r="FM19" s="39" t="n"/>
      <c r="FN19" s="39" t="n"/>
      <c r="FO19" s="39" t="n"/>
      <c r="FP19" s="39" t="n"/>
      <c r="FQ19" s="39" t="n"/>
      <c r="FR19" s="39" t="n"/>
      <c r="FS19" s="39" t="n"/>
      <c r="FT19" s="39" t="n"/>
      <c r="FU19" s="39" t="n"/>
      <c r="FV19" s="39" t="n"/>
      <c r="FW19" s="39" t="n"/>
      <c r="FX19" s="39" t="n"/>
      <c r="FY19" s="39" t="n"/>
      <c r="FZ19" s="39" t="n"/>
      <c r="GA19" s="39" t="n"/>
      <c r="GB19" s="39" t="n"/>
      <c r="GC19" s="39" t="n"/>
      <c r="GD19" s="39" t="n"/>
      <c r="GE19" s="39" t="n"/>
      <c r="GF19" s="39" t="n"/>
      <c r="GG19" s="39" t="n"/>
      <c r="GH19" s="39" t="n"/>
      <c r="GI19" s="39" t="n"/>
      <c r="GJ19" s="39" t="n"/>
      <c r="GK19" s="39" t="n"/>
      <c r="GL19" s="39" t="n"/>
      <c r="GM19" s="39" t="n"/>
      <c r="GN19" s="39" t="n"/>
      <c r="GO19" s="39" t="n"/>
      <c r="GP19" s="39" t="n"/>
    </row>
    <row r="20" ht="14.4" customHeight="1" thickBot="1">
      <c r="B20" s="14" t="inlineStr">
        <is>
          <t>Total</t>
        </is>
      </c>
      <c r="C20" s="15">
        <f>IF(OR(C17=0,C17=""),"",SUM(C17:C19))</f>
        <v/>
      </c>
      <c r="D20" s="15">
        <f>IF(OR(D17=0,D17=""),"",SUM(D17:D19))</f>
        <v/>
      </c>
      <c r="E20" s="15">
        <f>IF(OR(E17=0,E17=""),"",SUM(E17:E19))</f>
        <v/>
      </c>
      <c r="F20" s="15">
        <f>IF(OR(F17=0,F17=""),"",SUM(F17:F19))</f>
        <v/>
      </c>
      <c r="G20" s="15">
        <f>IF(OR(G17=0,G17=""),"",SUM(G17:G19))</f>
        <v/>
      </c>
      <c r="H20" s="15">
        <f>IF(OR(H17=0,H17=""),"",SUM(H17:H19))</f>
        <v/>
      </c>
      <c r="I20" s="1">
        <f>IF(OR(H20=0,H20=""),"",AVERAGE(I17:I19))</f>
        <v/>
      </c>
      <c r="J20" s="15">
        <f>IF(OR(J17=0,J17=""),"",SUM(J17:J19))</f>
        <v/>
      </c>
      <c r="K20" s="1">
        <f>IF(OR(J20=0,J20=""),"",AVERAGE(K17:K19))</f>
        <v/>
      </c>
      <c r="L20" s="15">
        <f>IF(OR(L17=0,L17=""),"",SUM(L17:L19))</f>
        <v/>
      </c>
      <c r="M20" s="1">
        <f>IF(OR(L20=0,L20=""),"",AVERAGE(M17:M19))</f>
        <v/>
      </c>
      <c r="N20" s="15">
        <f>IF(OR(N17=0,N17=""),"",SUM(N17:N19))</f>
        <v/>
      </c>
      <c r="O20" s="1">
        <f>IF(OR(N20=0,N20=""),"",AVERAGE(O17:O19))</f>
        <v/>
      </c>
      <c r="P20" s="1">
        <f>IF(OR(P17=""),"",AVERAGE(P17:P19))</f>
        <v/>
      </c>
      <c r="Q20" s="1">
        <f>IF(OR(Q17=""),"",AVERAGE(Q17:Q19))</f>
        <v/>
      </c>
      <c r="R20" s="1">
        <f>IF(OR(R17=0,R17=""),"",AVERAGE(R17:R19))</f>
        <v/>
      </c>
      <c r="S20" s="1">
        <f>IF(OR(S17=0,S17=""),"",AVERAGE(S17:S19))</f>
        <v/>
      </c>
      <c r="T20" s="25"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c r="EH20" s="30" t="n"/>
      <c r="EI20" s="30" t="n"/>
      <c r="EJ20" s="30" t="n"/>
      <c r="EK20" s="30" t="n"/>
      <c r="EL20" s="30" t="n"/>
      <c r="EM20" s="30" t="n"/>
      <c r="EN20" s="30" t="n"/>
      <c r="EO20" s="30" t="n"/>
      <c r="EP20" s="30" t="n"/>
      <c r="EQ20" s="30" t="n"/>
      <c r="ER20" s="30" t="n"/>
      <c r="ES20" s="30" t="n"/>
      <c r="ET20" s="30" t="n"/>
      <c r="EU20" s="30" t="n"/>
      <c r="EV20" s="30" t="n"/>
      <c r="EW20" s="30" t="n"/>
      <c r="EX20" s="30" t="n"/>
      <c r="EY20" s="30" t="n"/>
      <c r="EZ20" s="30" t="n"/>
      <c r="FA20" s="30" t="n"/>
      <c r="FB20" s="30" t="n"/>
      <c r="FC20" s="30" t="n"/>
      <c r="FD20" s="30" t="n"/>
      <c r="FE20" s="30" t="n"/>
      <c r="FF20" s="30" t="n"/>
      <c r="FG20" s="30" t="n"/>
      <c r="FH20" s="30" t="n"/>
      <c r="FI20" s="30" t="n"/>
      <c r="FJ20" s="30" t="n"/>
      <c r="FK20" s="30" t="n"/>
      <c r="FL20" s="30" t="n"/>
      <c r="FM20" s="30" t="n"/>
      <c r="FN20" s="30" t="n"/>
      <c r="FO20" s="30" t="n"/>
      <c r="FP20" s="30" t="n"/>
      <c r="FQ20" s="30" t="n"/>
      <c r="FR20" s="30" t="n"/>
      <c r="FS20" s="30" t="n"/>
      <c r="FT20" s="30" t="n"/>
      <c r="FU20" s="30" t="n"/>
      <c r="FV20" s="30" t="n"/>
      <c r="FW20" s="30" t="n"/>
      <c r="FX20" s="30" t="n"/>
      <c r="FY20" s="30" t="n"/>
      <c r="FZ20" s="30" t="n"/>
      <c r="GA20" s="30" t="n"/>
      <c r="GB20" s="30" t="n"/>
      <c r="GC20" s="30" t="n"/>
      <c r="GD20" s="30" t="n"/>
      <c r="GE20" s="30" t="n"/>
      <c r="GF20" s="30" t="n"/>
      <c r="GG20" s="30" t="n"/>
      <c r="GH20" s="30" t="n"/>
      <c r="GI20" s="30" t="n"/>
      <c r="GJ20" s="30" t="n"/>
      <c r="GK20" s="30" t="n"/>
      <c r="GL20" s="30" t="n"/>
      <c r="GM20" s="30" t="n"/>
      <c r="GN20" s="30" t="n"/>
      <c r="GO20" s="30" t="n"/>
      <c r="GP20" s="30" t="n"/>
    </row>
    <row r="21">
      <c r="B21" s="34" t="n"/>
      <c r="C21" s="35" t="n"/>
      <c r="D21" s="32" t="n"/>
      <c r="E21" s="32" t="n"/>
      <c r="F21" s="35" t="n"/>
      <c r="G21" s="32" t="n"/>
      <c r="H21" s="32" t="n"/>
      <c r="I21" s="35" t="n"/>
      <c r="J21" s="32" t="n"/>
      <c r="K21" s="32" t="n"/>
      <c r="L21" s="32" t="n"/>
      <c r="M21" s="32" t="n"/>
      <c r="N21" s="32" t="n"/>
      <c r="O21" s="32" t="n"/>
      <c r="P21" s="32" t="n"/>
      <c r="Q21" s="32" t="n"/>
      <c r="R21" s="32" t="n"/>
      <c r="S21" s="32" t="n"/>
      <c r="T21" s="33"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c r="EH21" s="30" t="n"/>
      <c r="EI21" s="30" t="n"/>
      <c r="EJ21" s="30" t="n"/>
      <c r="EK21" s="30" t="n"/>
      <c r="EL21" s="30" t="n"/>
      <c r="EM21" s="30" t="n"/>
      <c r="EN21" s="30" t="n"/>
      <c r="EO21" s="30" t="n"/>
      <c r="EP21" s="30" t="n"/>
      <c r="EQ21" s="30" t="n"/>
      <c r="ER21" s="30" t="n"/>
      <c r="ES21" s="30" t="n"/>
      <c r="ET21" s="30" t="n"/>
      <c r="EU21" s="30" t="n"/>
      <c r="EV21" s="30" t="n"/>
      <c r="EW21" s="30" t="n"/>
      <c r="EX21" s="30" t="n"/>
      <c r="EY21" s="30" t="n"/>
      <c r="EZ21" s="30" t="n"/>
      <c r="FA21" s="30" t="n"/>
      <c r="FB21" s="30" t="n"/>
      <c r="FC21" s="30" t="n"/>
      <c r="FD21" s="30" t="n"/>
      <c r="FE21" s="30" t="n"/>
      <c r="FF21" s="30" t="n"/>
      <c r="FG21" s="30" t="n"/>
      <c r="FH21" s="30" t="n"/>
      <c r="FI21" s="30" t="n"/>
      <c r="FJ21" s="30" t="n"/>
      <c r="FK21" s="30" t="n"/>
      <c r="FL21" s="30" t="n"/>
      <c r="FM21" s="30" t="n"/>
      <c r="FN21" s="30" t="n"/>
      <c r="FO21" s="30" t="n"/>
      <c r="FP21" s="30" t="n"/>
      <c r="FQ21" s="30" t="n"/>
      <c r="FR21" s="30" t="n"/>
      <c r="FS21" s="30" t="n"/>
      <c r="FT21" s="30" t="n"/>
      <c r="FU21" s="30" t="n"/>
      <c r="FV21" s="30" t="n"/>
      <c r="FW21" s="30" t="n"/>
      <c r="FX21" s="30" t="n"/>
      <c r="FY21" s="30" t="n"/>
      <c r="FZ21" s="30" t="n"/>
      <c r="GA21" s="30" t="n"/>
      <c r="GB21" s="30" t="n"/>
      <c r="GC21" s="30" t="n"/>
      <c r="GD21" s="30" t="n"/>
      <c r="GE21" s="30" t="n"/>
      <c r="GF21" s="30" t="n"/>
      <c r="GG21" s="30" t="n"/>
      <c r="GH21" s="30" t="n"/>
      <c r="GI21" s="30" t="n"/>
      <c r="GJ21" s="30" t="n"/>
      <c r="GK21" s="30" t="n"/>
      <c r="GL21" s="30" t="n"/>
      <c r="GM21" s="30" t="n"/>
      <c r="GN21" s="30" t="n"/>
      <c r="GO21" s="30" t="n"/>
      <c r="GP21" s="30" t="n"/>
    </row>
    <row r="22" ht="13.8" customHeight="1" thickBot="1">
      <c r="B22" s="36" t="n"/>
      <c r="C22" s="31" t="n"/>
      <c r="D22" s="31" t="n"/>
      <c r="E22" s="31" t="n"/>
      <c r="F22" s="31" t="n"/>
      <c r="G22" s="31" t="n"/>
      <c r="H22" s="31" t="n"/>
      <c r="I22" s="31" t="n"/>
      <c r="J22" s="31" t="n"/>
      <c r="K22" s="31" t="n"/>
      <c r="L22" s="31" t="n"/>
      <c r="M22" s="31" t="n"/>
      <c r="N22" s="31" t="n"/>
      <c r="O22" s="31" t="n"/>
      <c r="P22" s="31" t="n"/>
      <c r="Q22" s="31" t="n"/>
      <c r="R22" s="31" t="n"/>
      <c r="S22" s="31" t="n"/>
      <c r="T22" s="37"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c r="EH22" s="30" t="n"/>
      <c r="EI22" s="30" t="n"/>
      <c r="EJ22" s="30" t="n"/>
      <c r="EK22" s="30" t="n"/>
      <c r="EL22" s="30" t="n"/>
      <c r="EM22" s="30" t="n"/>
      <c r="EN22" s="30" t="n"/>
      <c r="EO22" s="30" t="n"/>
      <c r="EP22" s="30" t="n"/>
      <c r="EQ22" s="30" t="n"/>
      <c r="ER22" s="30" t="n"/>
      <c r="ES22" s="30" t="n"/>
      <c r="ET22" s="30" t="n"/>
      <c r="EU22" s="30" t="n"/>
      <c r="EV22" s="30" t="n"/>
      <c r="EW22" s="30" t="n"/>
      <c r="EX22" s="30" t="n"/>
      <c r="EY22" s="30" t="n"/>
      <c r="EZ22" s="30" t="n"/>
      <c r="FA22" s="30" t="n"/>
      <c r="FB22" s="30" t="n"/>
      <c r="FC22" s="30" t="n"/>
      <c r="FD22" s="30" t="n"/>
      <c r="FE22" s="30" t="n"/>
      <c r="FF22" s="30" t="n"/>
      <c r="FG22" s="30" t="n"/>
      <c r="FH22" s="30" t="n"/>
      <c r="FI22" s="30" t="n"/>
      <c r="FJ22" s="30" t="n"/>
      <c r="FK22" s="30" t="n"/>
      <c r="FL22" s="30" t="n"/>
      <c r="FM22" s="30" t="n"/>
      <c r="FN22" s="30" t="n"/>
      <c r="FO22" s="30" t="n"/>
      <c r="FP22" s="30" t="n"/>
      <c r="FQ22" s="30" t="n"/>
      <c r="FR22" s="30" t="n"/>
      <c r="FS22" s="30" t="n"/>
      <c r="FT22" s="30" t="n"/>
      <c r="FU22" s="30" t="n"/>
      <c r="FV22" s="30" t="n"/>
      <c r="FW22" s="30" t="n"/>
      <c r="FX22" s="30" t="n"/>
      <c r="FY22" s="30" t="n"/>
      <c r="FZ22" s="30" t="n"/>
      <c r="GA22" s="30" t="n"/>
      <c r="GB22" s="30" t="n"/>
      <c r="GC22" s="30" t="n"/>
      <c r="GD22" s="30" t="n"/>
      <c r="GE22" s="30" t="n"/>
      <c r="GF22" s="30" t="n"/>
      <c r="GG22" s="30" t="n"/>
      <c r="GH22" s="30" t="n"/>
      <c r="GI22" s="30" t="n"/>
      <c r="GJ22" s="30" t="n"/>
      <c r="GK22" s="30" t="n"/>
      <c r="GL22" s="30" t="n"/>
      <c r="GM22" s="30" t="n"/>
      <c r="GN22" s="30" t="n"/>
      <c r="GO22" s="30" t="n"/>
      <c r="GP22" s="30" t="n"/>
    </row>
    <row r="23" ht="13.8" customHeight="1" thickBot="1">
      <c r="B23" s="41" t="inlineStr">
        <is>
          <t>Análisis de Resultados IT III</t>
        </is>
      </c>
      <c r="C23" s="42" t="n"/>
      <c r="D23" s="43" t="n"/>
      <c r="E23" s="43" t="n"/>
      <c r="F23" s="42" t="n"/>
      <c r="G23" s="43" t="n"/>
      <c r="H23" s="43" t="n"/>
      <c r="I23" s="42" t="n"/>
      <c r="J23" s="43" t="n"/>
      <c r="K23" s="44" t="n"/>
      <c r="L23" s="44" t="n"/>
      <c r="M23" s="44" t="n"/>
      <c r="N23" s="44" t="n"/>
      <c r="O23" s="44" t="n"/>
      <c r="P23" s="44" t="n"/>
      <c r="Q23" s="44" t="n"/>
      <c r="R23" s="44" t="n"/>
      <c r="S23" s="44" t="n"/>
      <c r="T23" s="45"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c r="CJ23" s="30" t="n"/>
      <c r="CK23" s="30" t="n"/>
      <c r="CL23" s="30" t="n"/>
      <c r="CM23" s="30" t="n"/>
      <c r="CN23" s="30" t="n"/>
      <c r="CO23" s="30" t="n"/>
      <c r="CP23" s="30" t="n"/>
      <c r="CQ23" s="30" t="n"/>
      <c r="CR23" s="30" t="n"/>
      <c r="CS23" s="30" t="n"/>
      <c r="CT23" s="30" t="n"/>
      <c r="CU23" s="30" t="n"/>
      <c r="CV23" s="30" t="n"/>
      <c r="CW23" s="30" t="n"/>
      <c r="CX23" s="30" t="n"/>
      <c r="CY23" s="30" t="n"/>
      <c r="CZ23" s="30" t="n"/>
      <c r="DA23" s="30" t="n"/>
      <c r="DB23" s="30" t="n"/>
      <c r="DC23" s="30" t="n"/>
      <c r="DD23" s="30" t="n"/>
      <c r="DE23" s="30" t="n"/>
      <c r="DF23" s="30" t="n"/>
      <c r="DG23" s="30" t="n"/>
      <c r="DH23" s="30" t="n"/>
      <c r="DI23" s="30" t="n"/>
      <c r="DJ23" s="30" t="n"/>
      <c r="DK23" s="30" t="n"/>
      <c r="DL23" s="30" t="n"/>
      <c r="DM23" s="30" t="n"/>
      <c r="DN23" s="30" t="n"/>
      <c r="DO23" s="30" t="n"/>
      <c r="DP23" s="30" t="n"/>
      <c r="DQ23" s="30" t="n"/>
      <c r="DR23" s="30" t="n"/>
      <c r="DS23" s="30" t="n"/>
      <c r="DT23" s="30" t="n"/>
      <c r="DU23" s="30" t="n"/>
      <c r="DV23" s="30" t="n"/>
      <c r="DW23" s="30" t="n"/>
      <c r="DX23" s="30" t="n"/>
      <c r="DY23" s="30" t="n"/>
      <c r="DZ23" s="30" t="n"/>
      <c r="EA23" s="30" t="n"/>
      <c r="EB23" s="30" t="n"/>
      <c r="EC23" s="30" t="n"/>
      <c r="ED23" s="30" t="n"/>
      <c r="EE23" s="30" t="n"/>
      <c r="EF23" s="30" t="n"/>
      <c r="EG23" s="30" t="n"/>
      <c r="EH23" s="30" t="n"/>
      <c r="EI23" s="30" t="n"/>
      <c r="EJ23" s="30" t="n"/>
      <c r="EK23" s="30" t="n"/>
      <c r="EL23" s="30" t="n"/>
      <c r="EM23" s="30" t="n"/>
      <c r="EN23" s="30" t="n"/>
      <c r="EO23" s="30" t="n"/>
      <c r="EP23" s="30" t="n"/>
      <c r="EQ23" s="30" t="n"/>
      <c r="ER23" s="30" t="n"/>
      <c r="ES23" s="30" t="n"/>
      <c r="ET23" s="30" t="n"/>
      <c r="EU23" s="30" t="n"/>
      <c r="EV23" s="30" t="n"/>
      <c r="EW23" s="30" t="n"/>
      <c r="EX23" s="30" t="n"/>
      <c r="EY23" s="30" t="n"/>
      <c r="EZ23" s="30" t="n"/>
      <c r="FA23" s="30" t="n"/>
      <c r="FB23" s="30" t="n"/>
      <c r="FC23" s="30" t="n"/>
      <c r="FD23" s="30" t="n"/>
      <c r="FE23" s="30" t="n"/>
      <c r="FF23" s="30" t="n"/>
      <c r="FG23" s="30" t="n"/>
      <c r="FH23" s="30" t="n"/>
      <c r="FI23" s="30" t="n"/>
      <c r="FJ23" s="30" t="n"/>
      <c r="FK23" s="30" t="n"/>
      <c r="FL23" s="30" t="n"/>
      <c r="FM23" s="30" t="n"/>
      <c r="FN23" s="30" t="n"/>
      <c r="FO23" s="30" t="n"/>
      <c r="FP23" s="30" t="n"/>
      <c r="FQ23" s="30" t="n"/>
      <c r="FR23" s="30" t="n"/>
      <c r="FS23" s="30" t="n"/>
      <c r="FT23" s="30" t="n"/>
      <c r="FU23" s="30" t="n"/>
      <c r="FV23" s="30" t="n"/>
      <c r="FW23" s="30" t="n"/>
      <c r="FX23" s="30" t="n"/>
      <c r="FY23" s="30" t="n"/>
      <c r="FZ23" s="30" t="n"/>
      <c r="GA23" s="30" t="n"/>
      <c r="GB23" s="30" t="n"/>
      <c r="GC23" s="30" t="n"/>
      <c r="GD23" s="30" t="n"/>
      <c r="GE23" s="30" t="n"/>
      <c r="GF23" s="30" t="n"/>
      <c r="GG23" s="30" t="n"/>
      <c r="GH23" s="30" t="n"/>
      <c r="GI23" s="30" t="n"/>
      <c r="GJ23" s="30" t="n"/>
      <c r="GK23" s="30" t="n"/>
      <c r="GL23" s="30" t="n"/>
      <c r="GM23" s="30" t="n"/>
      <c r="GN23" s="30" t="n"/>
      <c r="GO23" s="30" t="n"/>
      <c r="GP23" s="30" t="n"/>
    </row>
    <row r="24" ht="13.5" customHeight="1" thickBot="1">
      <c r="B24" s="9" t="inlineStr">
        <is>
          <t>Funcionalidad o Requerimiento</t>
        </is>
      </c>
      <c r="C24" s="9" t="inlineStr">
        <is>
          <t>Nro. Reqs Prueba</t>
        </is>
      </c>
      <c r="D24" s="9" t="inlineStr">
        <is>
          <t>No Conformidades</t>
        </is>
      </c>
      <c r="E24" s="175" t="n"/>
      <c r="F24" s="176" t="n"/>
      <c r="G24" s="9" t="inlineStr">
        <is>
          <t>NC Anulados</t>
        </is>
      </c>
      <c r="H24" s="181" t="inlineStr">
        <is>
          <t>Resultados</t>
        </is>
      </c>
      <c r="I24" s="175" t="n"/>
      <c r="J24" s="175" t="n"/>
      <c r="K24" s="175" t="n"/>
      <c r="L24" s="175" t="n"/>
      <c r="M24" s="175" t="n"/>
      <c r="N24" s="175" t="n"/>
      <c r="O24" s="176" t="n"/>
      <c r="P24" s="9" t="inlineStr">
        <is>
          <t>Correctitud</t>
        </is>
      </c>
      <c r="Q24" s="9" t="inlineStr">
        <is>
          <t>Densidad NC</t>
        </is>
      </c>
      <c r="R24" s="9" t="inlineStr">
        <is>
          <t>Confiab.</t>
        </is>
      </c>
      <c r="S24" s="9" t="inlineStr">
        <is>
          <t>Cobertura</t>
        </is>
      </c>
      <c r="T24" s="9" t="inlineStr">
        <is>
          <t>Observaciones</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c r="EH24" s="30" t="n"/>
      <c r="EI24" s="30" t="n"/>
      <c r="EJ24" s="30" t="n"/>
      <c r="EK24" s="30" t="n"/>
      <c r="EL24" s="30" t="n"/>
      <c r="EM24" s="30" t="n"/>
      <c r="EN24" s="30" t="n"/>
      <c r="EO24" s="30" t="n"/>
      <c r="EP24" s="30" t="n"/>
      <c r="EQ24" s="30" t="n"/>
      <c r="ER24" s="30" t="n"/>
      <c r="ES24" s="30" t="n"/>
      <c r="ET24" s="30" t="n"/>
      <c r="EU24" s="30" t="n"/>
      <c r="EV24" s="30" t="n"/>
      <c r="EW24" s="30" t="n"/>
      <c r="EX24" s="30" t="n"/>
      <c r="EY24" s="30" t="n"/>
      <c r="EZ24" s="30" t="n"/>
      <c r="FA24" s="30" t="n"/>
      <c r="FB24" s="30" t="n"/>
      <c r="FC24" s="30" t="n"/>
      <c r="FD24" s="30" t="n"/>
      <c r="FE24" s="30" t="n"/>
      <c r="FF24" s="30" t="n"/>
      <c r="FG24" s="30" t="n"/>
      <c r="FH24" s="30" t="n"/>
      <c r="FI24" s="30" t="n"/>
      <c r="FJ24" s="30" t="n"/>
      <c r="FK24" s="30" t="n"/>
      <c r="FL24" s="30" t="n"/>
      <c r="FM24" s="30" t="n"/>
      <c r="FN24" s="30" t="n"/>
      <c r="FO24" s="30" t="n"/>
      <c r="FP24" s="30" t="n"/>
      <c r="FQ24" s="30" t="n"/>
      <c r="FR24" s="30" t="n"/>
      <c r="FS24" s="30" t="n"/>
      <c r="FT24" s="30" t="n"/>
      <c r="FU24" s="30" t="n"/>
      <c r="FV24" s="30" t="n"/>
      <c r="FW24" s="30" t="n"/>
      <c r="FX24" s="30" t="n"/>
      <c r="FY24" s="30" t="n"/>
      <c r="FZ24" s="30" t="n"/>
      <c r="GA24" s="30" t="n"/>
      <c r="GB24" s="30" t="n"/>
      <c r="GC24" s="30" t="n"/>
      <c r="GD24" s="30" t="n"/>
      <c r="GE24" s="30" t="n"/>
      <c r="GF24" s="30" t="n"/>
      <c r="GG24" s="30" t="n"/>
      <c r="GH24" s="30" t="n"/>
      <c r="GI24" s="30" t="n"/>
      <c r="GJ24" s="30" t="n"/>
      <c r="GK24" s="30" t="n"/>
      <c r="GL24" s="30" t="n"/>
      <c r="GM24" s="30" t="n"/>
      <c r="GN24" s="30" t="n"/>
      <c r="GO24" s="30" t="n"/>
      <c r="GP24" s="30" t="n"/>
    </row>
    <row r="25" ht="13.8" customHeight="1" thickBot="1">
      <c r="B25" s="178" t="n"/>
      <c r="C25" s="178" t="n"/>
      <c r="D25" s="9" t="inlineStr">
        <is>
          <t>Bloqueante</t>
        </is>
      </c>
      <c r="E25" s="9" t="inlineStr">
        <is>
          <t>Funcional</t>
        </is>
      </c>
      <c r="F25" s="9" t="inlineStr">
        <is>
          <t>Presentación</t>
        </is>
      </c>
      <c r="G25" s="178" t="n"/>
      <c r="H25" s="181" t="inlineStr">
        <is>
          <t>Ejecutados</t>
        </is>
      </c>
      <c r="I25" s="176" t="n"/>
      <c r="J25" s="179" t="inlineStr">
        <is>
          <t>OK</t>
        </is>
      </c>
      <c r="K25" s="180" t="n"/>
      <c r="L25" s="182" t="inlineStr">
        <is>
          <t>NOK</t>
        </is>
      </c>
      <c r="M25" s="180" t="n"/>
      <c r="N25" s="181" t="inlineStr">
        <is>
          <t>PDTE</t>
        </is>
      </c>
      <c r="O25" s="176" t="n"/>
      <c r="P25" s="178" t="n"/>
      <c r="Q25" s="178" t="n"/>
      <c r="R25" s="178" t="n"/>
      <c r="S25" s="178" t="n"/>
      <c r="T25" s="178"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c r="EH25" s="30" t="n"/>
      <c r="EI25" s="30" t="n"/>
      <c r="EJ25" s="30" t="n"/>
      <c r="EK25" s="30" t="n"/>
      <c r="EL25" s="30" t="n"/>
      <c r="EM25" s="30" t="n"/>
      <c r="EN25" s="30" t="n"/>
      <c r="EO25" s="30" t="n"/>
      <c r="EP25" s="30" t="n"/>
      <c r="EQ25" s="30" t="n"/>
      <c r="ER25" s="30" t="n"/>
      <c r="ES25" s="30" t="n"/>
      <c r="ET25" s="30" t="n"/>
      <c r="EU25" s="30" t="n"/>
      <c r="EV25" s="30" t="n"/>
      <c r="EW25" s="30" t="n"/>
      <c r="EX25" s="30" t="n"/>
      <c r="EY25" s="30" t="n"/>
      <c r="EZ25" s="30" t="n"/>
      <c r="FA25" s="30" t="n"/>
      <c r="FB25" s="30" t="n"/>
      <c r="FC25" s="30" t="n"/>
      <c r="FD25" s="30" t="n"/>
      <c r="FE25" s="30" t="n"/>
      <c r="FF25" s="30" t="n"/>
      <c r="FG25" s="30" t="n"/>
      <c r="FH25" s="30" t="n"/>
      <c r="FI25" s="30" t="n"/>
      <c r="FJ25" s="30" t="n"/>
      <c r="FK25" s="30" t="n"/>
      <c r="FL25" s="30" t="n"/>
      <c r="FM25" s="30" t="n"/>
      <c r="FN25" s="30" t="n"/>
      <c r="FO25" s="30" t="n"/>
      <c r="FP25" s="30" t="n"/>
      <c r="FQ25" s="30" t="n"/>
      <c r="FR25" s="30" t="n"/>
      <c r="FS25" s="30" t="n"/>
      <c r="FT25" s="30" t="n"/>
      <c r="FU25" s="30" t="n"/>
      <c r="FV25" s="30" t="n"/>
      <c r="FW25" s="30" t="n"/>
      <c r="FX25" s="30" t="n"/>
      <c r="FY25" s="30" t="n"/>
      <c r="FZ25" s="30" t="n"/>
      <c r="GA25" s="30" t="n"/>
      <c r="GB25" s="30" t="n"/>
      <c r="GC25" s="30" t="n"/>
      <c r="GD25" s="30" t="n"/>
      <c r="GE25" s="30" t="n"/>
      <c r="GF25" s="30" t="n"/>
      <c r="GG25" s="30" t="n"/>
      <c r="GH25" s="30" t="n"/>
      <c r="GI25" s="30" t="n"/>
      <c r="GJ25" s="30" t="n"/>
      <c r="GK25" s="30" t="n"/>
      <c r="GL25" s="30" t="n"/>
      <c r="GM25" s="30" t="n"/>
      <c r="GN25" s="30" t="n"/>
      <c r="GO25" s="30" t="n"/>
      <c r="GP25" s="30" t="n"/>
    </row>
    <row r="26" customFormat="1" s="7">
      <c r="B26" s="22">
        <f>IF(#REF!=0,"",#REF!)</f>
        <v/>
      </c>
      <c r="C26" s="17">
        <f>IF(COUNTIF(#REF!,"OK")+COUNTIF(#REF!,"NOK")+COUNTIF(#REF!,"PDTE")+COUNTIF(#REF!,"N/A")=0,"",COUNTIF(#REF!,"OK")+COUNTIF(#REF!,"NOK")+COUNTIF(#REF!,"PDTE")+COUNTIF(#REF!,"N/A"))</f>
        <v/>
      </c>
      <c r="D26" s="10" t="n"/>
      <c r="E26" s="10" t="n"/>
      <c r="F26" s="10" t="n"/>
      <c r="G26" s="17">
        <f>IF(COUNTIF(#REF!,"N/A")=0,"",COUNTIF(#REF!,"N/A"))</f>
        <v/>
      </c>
      <c r="H26" s="17">
        <f>IF(COUNTIF(#REF!,"OK")+COUNTIF(#REF!,"NOK")=0,"",COUNTIF(#REF!,"OK")+COUNTIF(#REF!,"NOK"))</f>
        <v/>
      </c>
      <c r="I26" s="6">
        <f>IF(OR(C26=" ",OR(H26="",H26=0)),"",H26/C26)</f>
        <v/>
      </c>
      <c r="J26" s="23">
        <f>IF(COUNTIF(#REF!,"OK")=0,"",COUNTIF(#REF!,"OK"))</f>
        <v/>
      </c>
      <c r="K26" s="6">
        <f>IF(OR(C26=" ",OR(J26="",J26=0)),"",J26/C26)</f>
        <v/>
      </c>
      <c r="L26" s="23">
        <f>IF(COUNTIF(#REF!,"NOK")=0,"",COUNTIF(#REF!,"NOK"))</f>
        <v/>
      </c>
      <c r="M26" s="6">
        <f>IF(OR(C26=" ",OR(L26="",L26=0)),"",L26/C26)</f>
        <v/>
      </c>
      <c r="N26" s="23">
        <f>IF(COUNTIF(#REF!,"PDTE")=0,"",COUNTIF(#REF!,"PDTE"))</f>
        <v/>
      </c>
      <c r="O26" s="6">
        <f>IF(OR(C26=" ",OR(N26="",N26=0)),"",N26/C26)</f>
        <v/>
      </c>
      <c r="P26" s="6">
        <f>IF(OR(H26=0,H26=""),"",SUM(J26)/H26)</f>
        <v/>
      </c>
      <c r="Q26" s="6">
        <f>IF(OR(H26=0,H26=""),"",SUM(D26:F26)/H26)</f>
        <v/>
      </c>
      <c r="R26" s="6">
        <f>IF(Q26="","",1-Q26)</f>
        <v/>
      </c>
      <c r="S26" s="6">
        <f>IF(OR(I26="",I26=0),"",I26)</f>
        <v/>
      </c>
      <c r="T26" s="24"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c r="BA26" s="39" t="n"/>
      <c r="BB26" s="39" t="n"/>
      <c r="BC26" s="39" t="n"/>
      <c r="BD26" s="39" t="n"/>
      <c r="BE26" s="39" t="n"/>
      <c r="BF26" s="39" t="n"/>
      <c r="BG26" s="39" t="n"/>
      <c r="BH26" s="39" t="n"/>
      <c r="BI26" s="39" t="n"/>
      <c r="BJ26" s="39" t="n"/>
      <c r="BK26" s="39" t="n"/>
      <c r="BL26" s="39" t="n"/>
      <c r="BM26" s="39" t="n"/>
      <c r="BN26" s="39" t="n"/>
      <c r="BO26" s="39" t="n"/>
      <c r="BP26" s="39" t="n"/>
      <c r="BQ26" s="39" t="n"/>
      <c r="BR26" s="39" t="n"/>
      <c r="BS26" s="39" t="n"/>
      <c r="BT26" s="39" t="n"/>
      <c r="BU26" s="39" t="n"/>
      <c r="BV26" s="39" t="n"/>
      <c r="BW26" s="39" t="n"/>
      <c r="BX26" s="39" t="n"/>
      <c r="BY26" s="39" t="n"/>
      <c r="BZ26" s="39" t="n"/>
      <c r="CA26" s="39" t="n"/>
      <c r="CB26" s="39" t="n"/>
      <c r="CC26" s="39" t="n"/>
      <c r="CD26" s="39" t="n"/>
      <c r="CE26" s="39" t="n"/>
      <c r="CF26" s="39" t="n"/>
      <c r="CG26" s="39" t="n"/>
      <c r="CH26" s="39" t="n"/>
      <c r="CI26" s="39" t="n"/>
      <c r="CJ26" s="39" t="n"/>
      <c r="CK26" s="39" t="n"/>
      <c r="CL26" s="39" t="n"/>
      <c r="CM26" s="39" t="n"/>
      <c r="CN26" s="39" t="n"/>
      <c r="CO26" s="39" t="n"/>
      <c r="CP26" s="39" t="n"/>
      <c r="CQ26" s="39" t="n"/>
      <c r="CR26" s="39" t="n"/>
      <c r="CS26" s="39" t="n"/>
      <c r="CT26" s="39" t="n"/>
      <c r="CU26" s="39" t="n"/>
      <c r="CV26" s="39" t="n"/>
      <c r="CW26" s="39" t="n"/>
      <c r="CX26" s="39" t="n"/>
      <c r="CY26" s="39" t="n"/>
      <c r="CZ26" s="39" t="n"/>
      <c r="DA26" s="39" t="n"/>
      <c r="DB26" s="39" t="n"/>
      <c r="DC26" s="39" t="n"/>
      <c r="DD26" s="39" t="n"/>
      <c r="DE26" s="39" t="n"/>
      <c r="DF26" s="39" t="n"/>
      <c r="DG26" s="39" t="n"/>
      <c r="DH26" s="39" t="n"/>
      <c r="DI26" s="39" t="n"/>
      <c r="DJ26" s="39" t="n"/>
      <c r="DK26" s="39" t="n"/>
      <c r="DL26" s="39" t="n"/>
      <c r="DM26" s="39" t="n"/>
      <c r="DN26" s="39" t="n"/>
      <c r="DO26" s="39" t="n"/>
      <c r="DP26" s="39" t="n"/>
      <c r="DQ26" s="39" t="n"/>
      <c r="DR26" s="39" t="n"/>
      <c r="DS26" s="39" t="n"/>
      <c r="DT26" s="39" t="n"/>
      <c r="DU26" s="39" t="n"/>
      <c r="DV26" s="39" t="n"/>
      <c r="DW26" s="39" t="n"/>
      <c r="DX26" s="39" t="n"/>
      <c r="DY26" s="39" t="n"/>
      <c r="DZ26" s="39" t="n"/>
      <c r="EA26" s="39" t="n"/>
      <c r="EB26" s="39" t="n"/>
      <c r="EC26" s="39" t="n"/>
      <c r="ED26" s="39" t="n"/>
      <c r="EE26" s="39" t="n"/>
      <c r="EF26" s="39" t="n"/>
      <c r="EG26" s="39" t="n"/>
      <c r="EH26" s="39" t="n"/>
      <c r="EI26" s="39" t="n"/>
      <c r="EJ26" s="39" t="n"/>
      <c r="EK26" s="39" t="n"/>
      <c r="EL26" s="39" t="n"/>
      <c r="EM26" s="39" t="n"/>
      <c r="EN26" s="39" t="n"/>
      <c r="EO26" s="39" t="n"/>
      <c r="EP26" s="39" t="n"/>
      <c r="EQ26" s="39" t="n"/>
      <c r="ER26" s="39" t="n"/>
      <c r="ES26" s="39" t="n"/>
      <c r="ET26" s="39" t="n"/>
      <c r="EU26" s="39" t="n"/>
      <c r="EV26" s="39" t="n"/>
      <c r="EW26" s="39" t="n"/>
      <c r="EX26" s="39" t="n"/>
      <c r="EY26" s="39" t="n"/>
      <c r="EZ26" s="39" t="n"/>
      <c r="FA26" s="39" t="n"/>
      <c r="FB26" s="39" t="n"/>
      <c r="FC26" s="39" t="n"/>
      <c r="FD26" s="39" t="n"/>
      <c r="FE26" s="39" t="n"/>
      <c r="FF26" s="39" t="n"/>
      <c r="FG26" s="39" t="n"/>
      <c r="FH26" s="39" t="n"/>
      <c r="FI26" s="39" t="n"/>
      <c r="FJ26" s="39" t="n"/>
      <c r="FK26" s="39" t="n"/>
      <c r="FL26" s="39" t="n"/>
      <c r="FM26" s="39" t="n"/>
      <c r="FN26" s="39" t="n"/>
      <c r="FO26" s="39" t="n"/>
      <c r="FP26" s="39" t="n"/>
      <c r="FQ26" s="39" t="n"/>
      <c r="FR26" s="39" t="n"/>
      <c r="FS26" s="39" t="n"/>
      <c r="FT26" s="39" t="n"/>
      <c r="FU26" s="39" t="n"/>
      <c r="FV26" s="39" t="n"/>
      <c r="FW26" s="39" t="n"/>
      <c r="FX26" s="39" t="n"/>
      <c r="FY26" s="39" t="n"/>
      <c r="FZ26" s="39" t="n"/>
      <c r="GA26" s="39" t="n"/>
      <c r="GB26" s="39" t="n"/>
      <c r="GC26" s="39" t="n"/>
      <c r="GD26" s="39" t="n"/>
      <c r="GE26" s="39" t="n"/>
      <c r="GF26" s="39" t="n"/>
      <c r="GG26" s="39" t="n"/>
      <c r="GH26" s="39" t="n"/>
      <c r="GI26" s="39" t="n"/>
      <c r="GJ26" s="39" t="n"/>
      <c r="GK26" s="39" t="n"/>
      <c r="GL26" s="39" t="n"/>
      <c r="GM26" s="39" t="n"/>
      <c r="GN26" s="39" t="n"/>
      <c r="GO26" s="39" t="n"/>
      <c r="GP26" s="39" t="n"/>
    </row>
    <row r="27" customFormat="1" s="7">
      <c r="B27" s="2" t="n"/>
      <c r="C27" s="4" t="n"/>
      <c r="D27" s="4" t="n"/>
      <c r="E27" s="4" t="n"/>
      <c r="F27" s="4" t="n"/>
      <c r="G27" s="4" t="n"/>
      <c r="H27" s="4" t="n"/>
      <c r="I27" s="6">
        <f>IF(OR(C27=" ",OR(H27="",H27=0)),"",H27/C27)</f>
        <v/>
      </c>
      <c r="J27" s="12" t="n"/>
      <c r="K27" s="6">
        <f>IF(OR(C27=" ",OR(J27="",J27=0)),"",J27/C27)</f>
        <v/>
      </c>
      <c r="L27" s="12" t="n"/>
      <c r="M27" s="6">
        <f>IF(OR(C27=" ",OR(L27="",L27=0)),"",L27/C27)</f>
        <v/>
      </c>
      <c r="N27" s="11" t="n"/>
      <c r="O27" s="6">
        <f>IF(OR(C27=" ",OR(N27="",N27=0)),"",N27/C27)</f>
        <v/>
      </c>
      <c r="P27" s="6">
        <f>IF(OR(H27=0,H27=""),"",J27/H27)</f>
        <v/>
      </c>
      <c r="Q27" s="6">
        <f>IF(OR(H27=0,H27=""),"",SUM(D27:E27)/H27)</f>
        <v/>
      </c>
      <c r="R27" s="6">
        <f>IF(Q27="","",1-Q27)</f>
        <v/>
      </c>
      <c r="S27" s="6">
        <f>IF(OR(I27="",I27=0),"",I27)</f>
        <v/>
      </c>
      <c r="T27" s="13"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c r="BA27" s="39" t="n"/>
      <c r="BB27" s="39" t="n"/>
      <c r="BC27" s="39" t="n"/>
      <c r="BD27" s="39" t="n"/>
      <c r="BE27" s="39" t="n"/>
      <c r="BF27" s="39" t="n"/>
      <c r="BG27" s="39" t="n"/>
      <c r="BH27" s="39" t="n"/>
      <c r="BI27" s="39" t="n"/>
      <c r="BJ27" s="39" t="n"/>
      <c r="BK27" s="39" t="n"/>
      <c r="BL27" s="39" t="n"/>
      <c r="BM27" s="39" t="n"/>
      <c r="BN27" s="39" t="n"/>
      <c r="BO27" s="39" t="n"/>
      <c r="BP27" s="39" t="n"/>
      <c r="BQ27" s="39" t="n"/>
      <c r="BR27" s="39" t="n"/>
      <c r="BS27" s="39" t="n"/>
      <c r="BT27" s="39" t="n"/>
      <c r="BU27" s="39" t="n"/>
      <c r="BV27" s="39" t="n"/>
      <c r="BW27" s="39" t="n"/>
      <c r="BX27" s="39" t="n"/>
      <c r="BY27" s="39" t="n"/>
      <c r="BZ27" s="39" t="n"/>
      <c r="CA27" s="39" t="n"/>
      <c r="CB27" s="39" t="n"/>
      <c r="CC27" s="39" t="n"/>
      <c r="CD27" s="39" t="n"/>
      <c r="CE27" s="39" t="n"/>
      <c r="CF27" s="39" t="n"/>
      <c r="CG27" s="39" t="n"/>
      <c r="CH27" s="39" t="n"/>
      <c r="CI27" s="39" t="n"/>
      <c r="CJ27" s="39" t="n"/>
      <c r="CK27" s="39" t="n"/>
      <c r="CL27" s="39" t="n"/>
      <c r="CM27" s="39" t="n"/>
      <c r="CN27" s="39" t="n"/>
      <c r="CO27" s="39" t="n"/>
      <c r="CP27" s="39" t="n"/>
      <c r="CQ27" s="39" t="n"/>
      <c r="CR27" s="39" t="n"/>
      <c r="CS27" s="39" t="n"/>
      <c r="CT27" s="39" t="n"/>
      <c r="CU27" s="39" t="n"/>
      <c r="CV27" s="39" t="n"/>
      <c r="CW27" s="39" t="n"/>
      <c r="CX27" s="39" t="n"/>
      <c r="CY27" s="39" t="n"/>
      <c r="CZ27" s="39" t="n"/>
      <c r="DA27" s="39" t="n"/>
      <c r="DB27" s="39" t="n"/>
      <c r="DC27" s="39" t="n"/>
      <c r="DD27" s="39" t="n"/>
      <c r="DE27" s="39" t="n"/>
      <c r="DF27" s="39" t="n"/>
      <c r="DG27" s="39" t="n"/>
      <c r="DH27" s="39" t="n"/>
      <c r="DI27" s="39" t="n"/>
      <c r="DJ27" s="39" t="n"/>
      <c r="DK27" s="39" t="n"/>
      <c r="DL27" s="39" t="n"/>
      <c r="DM27" s="39" t="n"/>
      <c r="DN27" s="39" t="n"/>
      <c r="DO27" s="39" t="n"/>
      <c r="DP27" s="39" t="n"/>
      <c r="DQ27" s="39" t="n"/>
      <c r="DR27" s="39" t="n"/>
      <c r="DS27" s="39" t="n"/>
      <c r="DT27" s="39" t="n"/>
      <c r="DU27" s="39" t="n"/>
      <c r="DV27" s="39" t="n"/>
      <c r="DW27" s="39" t="n"/>
      <c r="DX27" s="39" t="n"/>
      <c r="DY27" s="39" t="n"/>
      <c r="DZ27" s="39" t="n"/>
      <c r="EA27" s="39" t="n"/>
      <c r="EB27" s="39" t="n"/>
      <c r="EC27" s="39" t="n"/>
      <c r="ED27" s="39" t="n"/>
      <c r="EE27" s="39" t="n"/>
      <c r="EF27" s="39" t="n"/>
      <c r="EG27" s="39" t="n"/>
      <c r="EH27" s="39" t="n"/>
      <c r="EI27" s="39" t="n"/>
      <c r="EJ27" s="39" t="n"/>
      <c r="EK27" s="39" t="n"/>
      <c r="EL27" s="39" t="n"/>
      <c r="EM27" s="39" t="n"/>
      <c r="EN27" s="39" t="n"/>
      <c r="EO27" s="39" t="n"/>
      <c r="EP27" s="39" t="n"/>
      <c r="EQ27" s="39" t="n"/>
      <c r="ER27" s="39" t="n"/>
      <c r="ES27" s="39" t="n"/>
      <c r="ET27" s="39" t="n"/>
      <c r="EU27" s="39" t="n"/>
      <c r="EV27" s="39" t="n"/>
      <c r="EW27" s="39" t="n"/>
      <c r="EX27" s="39" t="n"/>
      <c r="EY27" s="39" t="n"/>
      <c r="EZ27" s="39" t="n"/>
      <c r="FA27" s="39" t="n"/>
      <c r="FB27" s="39" t="n"/>
      <c r="FC27" s="39" t="n"/>
      <c r="FD27" s="39" t="n"/>
      <c r="FE27" s="39" t="n"/>
      <c r="FF27" s="39" t="n"/>
      <c r="FG27" s="39" t="n"/>
      <c r="FH27" s="39" t="n"/>
      <c r="FI27" s="39" t="n"/>
      <c r="FJ27" s="39" t="n"/>
      <c r="FK27" s="39" t="n"/>
      <c r="FL27" s="39" t="n"/>
      <c r="FM27" s="39" t="n"/>
      <c r="FN27" s="39" t="n"/>
      <c r="FO27" s="39" t="n"/>
      <c r="FP27" s="39" t="n"/>
      <c r="FQ27" s="39" t="n"/>
      <c r="FR27" s="39" t="n"/>
      <c r="FS27" s="39" t="n"/>
      <c r="FT27" s="39" t="n"/>
      <c r="FU27" s="39" t="n"/>
      <c r="FV27" s="39" t="n"/>
      <c r="FW27" s="39" t="n"/>
      <c r="FX27" s="39" t="n"/>
      <c r="FY27" s="39" t="n"/>
      <c r="FZ27" s="39" t="n"/>
      <c r="GA27" s="39" t="n"/>
      <c r="GB27" s="39" t="n"/>
      <c r="GC27" s="39" t="n"/>
      <c r="GD27" s="39" t="n"/>
      <c r="GE27" s="39" t="n"/>
      <c r="GF27" s="39" t="n"/>
      <c r="GG27" s="39" t="n"/>
      <c r="GH27" s="39" t="n"/>
      <c r="GI27" s="39" t="n"/>
      <c r="GJ27" s="39" t="n"/>
      <c r="GK27" s="39" t="n"/>
      <c r="GL27" s="39" t="n"/>
      <c r="GM27" s="39" t="n"/>
      <c r="GN27" s="39" t="n"/>
      <c r="GO27" s="39" t="n"/>
      <c r="GP27" s="39" t="n"/>
    </row>
    <row r="28" customFormat="1" s="7">
      <c r="B28" s="2" t="n"/>
      <c r="C28" s="4" t="n"/>
      <c r="D28" s="4" t="n"/>
      <c r="E28" s="4" t="n"/>
      <c r="F28" s="4" t="n"/>
      <c r="G28" s="4" t="n"/>
      <c r="H28" s="4" t="n"/>
      <c r="I28" s="6">
        <f>IF(OR(C28=" ",OR(H28="",H28=0)),"",H28/C28)</f>
        <v/>
      </c>
      <c r="J28" s="12" t="n"/>
      <c r="K28" s="6">
        <f>IF(OR(C28=" ",OR(J28="",J28=0)),"",J28/C28)</f>
        <v/>
      </c>
      <c r="L28" s="12" t="n"/>
      <c r="M28" s="6">
        <f>IF(OR(C28=" ",OR(L28="",L28=0)),"",L28/C28)</f>
        <v/>
      </c>
      <c r="N28" s="11" t="n"/>
      <c r="O28" s="6">
        <f>IF(OR(C28=" ",OR(N28="",N28=0)),"",N28/C28)</f>
        <v/>
      </c>
      <c r="P28" s="6">
        <f>IF(OR(H28=0,H28=""),"",J28/H28)</f>
        <v/>
      </c>
      <c r="Q28" s="6">
        <f>IF(OR(H28=0,H28=""),"",SUM(D28:E28)/H28)</f>
        <v/>
      </c>
      <c r="R28" s="6">
        <f>IF(Q28="","",1-Q28)</f>
        <v/>
      </c>
      <c r="S28" s="6">
        <f>IF(OR(I28="",I28=0),"",I28)</f>
        <v/>
      </c>
      <c r="T28" s="13"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c r="BA28" s="39" t="n"/>
      <c r="BB28" s="39" t="n"/>
      <c r="BC28" s="39" t="n"/>
      <c r="BD28" s="39" t="n"/>
      <c r="BE28" s="39" t="n"/>
      <c r="BF28" s="39" t="n"/>
      <c r="BG28" s="39" t="n"/>
      <c r="BH28" s="39" t="n"/>
      <c r="BI28" s="39" t="n"/>
      <c r="BJ28" s="39" t="n"/>
      <c r="BK28" s="39" t="n"/>
      <c r="BL28" s="39" t="n"/>
      <c r="BM28" s="39" t="n"/>
      <c r="BN28" s="39" t="n"/>
      <c r="BO28" s="39" t="n"/>
      <c r="BP28" s="39" t="n"/>
      <c r="BQ28" s="39" t="n"/>
      <c r="BR28" s="39" t="n"/>
      <c r="BS28" s="39" t="n"/>
      <c r="BT28" s="39" t="n"/>
      <c r="BU28" s="39" t="n"/>
      <c r="BV28" s="39" t="n"/>
      <c r="BW28" s="39" t="n"/>
      <c r="BX28" s="39" t="n"/>
      <c r="BY28" s="39" t="n"/>
      <c r="BZ28" s="39" t="n"/>
      <c r="CA28" s="39" t="n"/>
      <c r="CB28" s="39" t="n"/>
      <c r="CC28" s="39" t="n"/>
      <c r="CD28" s="39" t="n"/>
      <c r="CE28" s="39" t="n"/>
      <c r="CF28" s="39" t="n"/>
      <c r="CG28" s="39" t="n"/>
      <c r="CH28" s="39" t="n"/>
      <c r="CI28" s="39" t="n"/>
      <c r="CJ28" s="39" t="n"/>
      <c r="CK28" s="39" t="n"/>
      <c r="CL28" s="39" t="n"/>
      <c r="CM28" s="39" t="n"/>
      <c r="CN28" s="39" t="n"/>
      <c r="CO28" s="39" t="n"/>
      <c r="CP28" s="39" t="n"/>
      <c r="CQ28" s="39" t="n"/>
      <c r="CR28" s="39" t="n"/>
      <c r="CS28" s="39" t="n"/>
      <c r="CT28" s="39" t="n"/>
      <c r="CU28" s="39" t="n"/>
      <c r="CV28" s="39" t="n"/>
      <c r="CW28" s="39" t="n"/>
      <c r="CX28" s="39" t="n"/>
      <c r="CY28" s="39" t="n"/>
      <c r="CZ28" s="39" t="n"/>
      <c r="DA28" s="39" t="n"/>
      <c r="DB28" s="39" t="n"/>
      <c r="DC28" s="39" t="n"/>
      <c r="DD28" s="39" t="n"/>
      <c r="DE28" s="39" t="n"/>
      <c r="DF28" s="39" t="n"/>
      <c r="DG28" s="39" t="n"/>
      <c r="DH28" s="39" t="n"/>
      <c r="DI28" s="39" t="n"/>
      <c r="DJ28" s="39" t="n"/>
      <c r="DK28" s="39" t="n"/>
      <c r="DL28" s="39" t="n"/>
      <c r="DM28" s="39" t="n"/>
      <c r="DN28" s="39" t="n"/>
      <c r="DO28" s="39" t="n"/>
      <c r="DP28" s="39" t="n"/>
      <c r="DQ28" s="39" t="n"/>
      <c r="DR28" s="39" t="n"/>
      <c r="DS28" s="39" t="n"/>
      <c r="DT28" s="39" t="n"/>
      <c r="DU28" s="39" t="n"/>
      <c r="DV28" s="39" t="n"/>
      <c r="DW28" s="39" t="n"/>
      <c r="DX28" s="39" t="n"/>
      <c r="DY28" s="39" t="n"/>
      <c r="DZ28" s="39" t="n"/>
      <c r="EA28" s="39" t="n"/>
      <c r="EB28" s="39" t="n"/>
      <c r="EC28" s="39" t="n"/>
      <c r="ED28" s="39" t="n"/>
      <c r="EE28" s="39" t="n"/>
      <c r="EF28" s="39" t="n"/>
      <c r="EG28" s="39" t="n"/>
      <c r="EH28" s="39" t="n"/>
      <c r="EI28" s="39" t="n"/>
      <c r="EJ28" s="39" t="n"/>
      <c r="EK28" s="39" t="n"/>
      <c r="EL28" s="39" t="n"/>
      <c r="EM28" s="39" t="n"/>
      <c r="EN28" s="39" t="n"/>
      <c r="EO28" s="39" t="n"/>
      <c r="EP28" s="39" t="n"/>
      <c r="EQ28" s="39" t="n"/>
      <c r="ER28" s="39" t="n"/>
      <c r="ES28" s="39" t="n"/>
      <c r="ET28" s="39" t="n"/>
      <c r="EU28" s="39" t="n"/>
      <c r="EV28" s="39" t="n"/>
      <c r="EW28" s="39" t="n"/>
      <c r="EX28" s="39" t="n"/>
      <c r="EY28" s="39" t="n"/>
      <c r="EZ28" s="39" t="n"/>
      <c r="FA28" s="39" t="n"/>
      <c r="FB28" s="39" t="n"/>
      <c r="FC28" s="39" t="n"/>
      <c r="FD28" s="39" t="n"/>
      <c r="FE28" s="39" t="n"/>
      <c r="FF28" s="39" t="n"/>
      <c r="FG28" s="39" t="n"/>
      <c r="FH28" s="39" t="n"/>
      <c r="FI28" s="39" t="n"/>
      <c r="FJ28" s="39" t="n"/>
      <c r="FK28" s="39" t="n"/>
      <c r="FL28" s="39" t="n"/>
      <c r="FM28" s="39" t="n"/>
      <c r="FN28" s="39" t="n"/>
      <c r="FO28" s="39" t="n"/>
      <c r="FP28" s="39" t="n"/>
      <c r="FQ28" s="39" t="n"/>
      <c r="FR28" s="39" t="n"/>
      <c r="FS28" s="39" t="n"/>
      <c r="FT28" s="39" t="n"/>
      <c r="FU28" s="39" t="n"/>
      <c r="FV28" s="39" t="n"/>
      <c r="FW28" s="39" t="n"/>
      <c r="FX28" s="39" t="n"/>
      <c r="FY28" s="39" t="n"/>
      <c r="FZ28" s="39" t="n"/>
      <c r="GA28" s="39" t="n"/>
      <c r="GB28" s="39" t="n"/>
      <c r="GC28" s="39" t="n"/>
      <c r="GD28" s="39" t="n"/>
      <c r="GE28" s="39" t="n"/>
      <c r="GF28" s="39" t="n"/>
      <c r="GG28" s="39" t="n"/>
      <c r="GH28" s="39" t="n"/>
      <c r="GI28" s="39" t="n"/>
      <c r="GJ28" s="39" t="n"/>
      <c r="GK28" s="39" t="n"/>
      <c r="GL28" s="39" t="n"/>
      <c r="GM28" s="39" t="n"/>
      <c r="GN28" s="39" t="n"/>
      <c r="GO28" s="39" t="n"/>
      <c r="GP28" s="39" t="n"/>
    </row>
    <row r="29" ht="14.4" customHeight="1" thickBot="1">
      <c r="B29" s="14" t="inlineStr">
        <is>
          <t>Total</t>
        </is>
      </c>
      <c r="C29" s="15">
        <f>IF(OR(C26=0,C26=""),"",SUM(C26:C28))</f>
        <v/>
      </c>
      <c r="D29" s="15">
        <f>IF(OR(D26=0,D26=""),"",SUM(D26:D28))</f>
        <v/>
      </c>
      <c r="E29" s="15">
        <f>IF(OR(E26=0,E26=""),"",SUM(E26:E28))</f>
        <v/>
      </c>
      <c r="F29" s="15">
        <f>IF(OR(F26=0,F26=""),"",SUM(F26:F28))</f>
        <v/>
      </c>
      <c r="G29" s="15">
        <f>IF(OR(G26=0,G26=""),"",SUM(G26:G28))</f>
        <v/>
      </c>
      <c r="H29" s="15">
        <f>IF(OR(H26=0,H26=""),"",SUM(H26:H28))</f>
        <v/>
      </c>
      <c r="I29" s="1">
        <f>IF(OR(H29=0,H29=""),"",AVERAGE(I26:I28))</f>
        <v/>
      </c>
      <c r="J29" s="15">
        <f>IF(OR(J26=0,J26=""),"",SUM(J26:J28))</f>
        <v/>
      </c>
      <c r="K29" s="1">
        <f>IF(OR(J29=0,J29=""),"",AVERAGE(K26:K28))</f>
        <v/>
      </c>
      <c r="L29" s="15">
        <f>IF(OR(L26=0,L26=""),"",SUM(L26:L28))</f>
        <v/>
      </c>
      <c r="M29" s="1">
        <f>IF(OR(L29=0,L29=""),"",AVERAGE(M26:M28))</f>
        <v/>
      </c>
      <c r="N29" s="15">
        <f>IF(OR(N26=0,N26=""),"",SUM(N26:N28))</f>
        <v/>
      </c>
      <c r="O29" s="1">
        <f>IF(OR(N29=0,N29=""),"",AVERAGE(O26:O28))</f>
        <v/>
      </c>
      <c r="P29" s="1">
        <f>IF(OR(P26=""),"",AVERAGE(P26:P28))</f>
        <v/>
      </c>
      <c r="Q29" s="1">
        <f>IF(OR(Q26=""),"",AVERAGE(Q26:Q28))</f>
        <v/>
      </c>
      <c r="R29" s="1">
        <f>IF(OR(R26=0,R26=""),"",AVERAGE(R26:R28))</f>
        <v/>
      </c>
      <c r="S29" s="1">
        <f>IF(OR(S26=0,S26=""),"",AVERAGE(S26:S28))</f>
        <v/>
      </c>
      <c r="T29" s="25"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c r="CJ29" s="30" t="n"/>
      <c r="CK29" s="30" t="n"/>
      <c r="CL29" s="30" t="n"/>
      <c r="CM29" s="30" t="n"/>
      <c r="CN29" s="30" t="n"/>
      <c r="CO29" s="30" t="n"/>
      <c r="CP29" s="30" t="n"/>
      <c r="CQ29" s="30" t="n"/>
      <c r="CR29" s="30" t="n"/>
      <c r="CS29" s="30" t="n"/>
      <c r="CT29" s="30" t="n"/>
      <c r="CU29" s="30" t="n"/>
      <c r="CV29" s="30" t="n"/>
      <c r="CW29" s="30" t="n"/>
      <c r="CX29" s="30" t="n"/>
      <c r="CY29" s="30" t="n"/>
      <c r="CZ29" s="30" t="n"/>
      <c r="DA29" s="30" t="n"/>
      <c r="DB29" s="30" t="n"/>
      <c r="DC29" s="30" t="n"/>
      <c r="DD29" s="30" t="n"/>
      <c r="DE29" s="30" t="n"/>
      <c r="DF29" s="30" t="n"/>
      <c r="DG29" s="30" t="n"/>
      <c r="DH29" s="30" t="n"/>
      <c r="DI29" s="30" t="n"/>
      <c r="DJ29" s="30" t="n"/>
      <c r="DK29" s="30" t="n"/>
      <c r="DL29" s="30" t="n"/>
      <c r="DM29" s="30" t="n"/>
      <c r="DN29" s="30" t="n"/>
      <c r="DO29" s="30" t="n"/>
      <c r="DP29" s="30" t="n"/>
      <c r="DQ29" s="30" t="n"/>
      <c r="DR29" s="30" t="n"/>
      <c r="DS29" s="30" t="n"/>
      <c r="DT29" s="30" t="n"/>
      <c r="DU29" s="30" t="n"/>
      <c r="DV29" s="30" t="n"/>
      <c r="DW29" s="30" t="n"/>
      <c r="DX29" s="30" t="n"/>
      <c r="DY29" s="30" t="n"/>
      <c r="DZ29" s="30" t="n"/>
      <c r="EA29" s="30" t="n"/>
      <c r="EB29" s="30" t="n"/>
      <c r="EC29" s="30" t="n"/>
      <c r="ED29" s="30" t="n"/>
      <c r="EE29" s="30" t="n"/>
      <c r="EF29" s="30" t="n"/>
      <c r="EG29" s="30" t="n"/>
      <c r="EH29" s="30" t="n"/>
      <c r="EI29" s="30" t="n"/>
      <c r="EJ29" s="30" t="n"/>
      <c r="EK29" s="30" t="n"/>
      <c r="EL29" s="30" t="n"/>
      <c r="EM29" s="30" t="n"/>
      <c r="EN29" s="30" t="n"/>
      <c r="EO29" s="30" t="n"/>
      <c r="EP29" s="30" t="n"/>
      <c r="EQ29" s="30" t="n"/>
      <c r="ER29" s="30" t="n"/>
      <c r="ES29" s="30" t="n"/>
      <c r="ET29" s="30" t="n"/>
      <c r="EU29" s="30" t="n"/>
      <c r="EV29" s="30" t="n"/>
      <c r="EW29" s="30" t="n"/>
      <c r="EX29" s="30" t="n"/>
      <c r="EY29" s="30" t="n"/>
      <c r="EZ29" s="30" t="n"/>
      <c r="FA29" s="30" t="n"/>
      <c r="FB29" s="30" t="n"/>
      <c r="FC29" s="30" t="n"/>
      <c r="FD29" s="30" t="n"/>
      <c r="FE29" s="30" t="n"/>
      <c r="FF29" s="30" t="n"/>
      <c r="FG29" s="30" t="n"/>
      <c r="FH29" s="30" t="n"/>
      <c r="FI29" s="30" t="n"/>
      <c r="FJ29" s="30" t="n"/>
      <c r="FK29" s="30" t="n"/>
      <c r="FL29" s="30" t="n"/>
      <c r="FM29" s="30" t="n"/>
      <c r="FN29" s="30" t="n"/>
      <c r="FO29" s="30" t="n"/>
      <c r="FP29" s="30" t="n"/>
      <c r="FQ29" s="30" t="n"/>
      <c r="FR29" s="30" t="n"/>
      <c r="FS29" s="30" t="n"/>
      <c r="FT29" s="30" t="n"/>
      <c r="FU29" s="30" t="n"/>
      <c r="FV29" s="30" t="n"/>
      <c r="FW29" s="30" t="n"/>
      <c r="FX29" s="30" t="n"/>
      <c r="FY29" s="30" t="n"/>
      <c r="FZ29" s="30" t="n"/>
      <c r="GA29" s="30" t="n"/>
      <c r="GB29" s="30" t="n"/>
      <c r="GC29" s="30" t="n"/>
      <c r="GD29" s="30" t="n"/>
      <c r="GE29" s="30" t="n"/>
      <c r="GF29" s="30" t="n"/>
      <c r="GG29" s="30" t="n"/>
      <c r="GH29" s="30" t="n"/>
      <c r="GI29" s="30" t="n"/>
      <c r="GJ29" s="30" t="n"/>
      <c r="GK29" s="30" t="n"/>
      <c r="GL29" s="30" t="n"/>
      <c r="GM29" s="30" t="n"/>
      <c r="GN29" s="30" t="n"/>
      <c r="GO29" s="30" t="n"/>
      <c r="GP29" s="30" t="n"/>
    </row>
    <row r="30">
      <c r="B30" s="34" t="n"/>
      <c r="C30" s="35" t="n"/>
      <c r="D30" s="32" t="n"/>
      <c r="E30" s="32" t="n"/>
      <c r="F30" s="35" t="n"/>
      <c r="G30" s="32" t="n"/>
      <c r="H30" s="32" t="n"/>
      <c r="I30" s="35" t="n"/>
      <c r="J30" s="32" t="n"/>
      <c r="K30" s="32" t="n"/>
      <c r="L30" s="32" t="n"/>
      <c r="M30" s="32" t="n"/>
      <c r="N30" s="32" t="n"/>
      <c r="O30" s="32" t="n"/>
      <c r="P30" s="32" t="n"/>
      <c r="Q30" s="32" t="n"/>
      <c r="R30" s="32" t="n"/>
      <c r="S30" s="32" t="n"/>
      <c r="T30" s="33"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c r="EH30" s="30" t="n"/>
      <c r="EI30" s="30" t="n"/>
      <c r="EJ30" s="30" t="n"/>
      <c r="EK30" s="30" t="n"/>
      <c r="EL30" s="30" t="n"/>
      <c r="EM30" s="30" t="n"/>
      <c r="EN30" s="30" t="n"/>
      <c r="EO30" s="30" t="n"/>
      <c r="EP30" s="30" t="n"/>
      <c r="EQ30" s="30" t="n"/>
      <c r="ER30" s="30" t="n"/>
      <c r="ES30" s="30" t="n"/>
      <c r="ET30" s="30" t="n"/>
      <c r="EU30" s="30" t="n"/>
      <c r="EV30" s="30" t="n"/>
      <c r="EW30" s="30" t="n"/>
      <c r="EX30" s="30" t="n"/>
      <c r="EY30" s="30" t="n"/>
      <c r="EZ30" s="30" t="n"/>
      <c r="FA30" s="30" t="n"/>
      <c r="FB30" s="30" t="n"/>
      <c r="FC30" s="30" t="n"/>
      <c r="FD30" s="30" t="n"/>
      <c r="FE30" s="30" t="n"/>
      <c r="FF30" s="30" t="n"/>
      <c r="FG30" s="30" t="n"/>
      <c r="FH30" s="30" t="n"/>
      <c r="FI30" s="30" t="n"/>
      <c r="FJ30" s="30" t="n"/>
      <c r="FK30" s="30" t="n"/>
      <c r="FL30" s="30" t="n"/>
      <c r="FM30" s="30" t="n"/>
      <c r="FN30" s="30" t="n"/>
      <c r="FO30" s="30" t="n"/>
      <c r="FP30" s="30" t="n"/>
      <c r="FQ30" s="30" t="n"/>
      <c r="FR30" s="30" t="n"/>
      <c r="FS30" s="30" t="n"/>
      <c r="FT30" s="30" t="n"/>
      <c r="FU30" s="30" t="n"/>
      <c r="FV30" s="30" t="n"/>
      <c r="FW30" s="30" t="n"/>
      <c r="FX30" s="30" t="n"/>
      <c r="FY30" s="30" t="n"/>
      <c r="FZ30" s="30" t="n"/>
      <c r="GA30" s="30" t="n"/>
      <c r="GB30" s="30" t="n"/>
      <c r="GC30" s="30" t="n"/>
      <c r="GD30" s="30" t="n"/>
      <c r="GE30" s="30" t="n"/>
      <c r="GF30" s="30" t="n"/>
      <c r="GG30" s="30" t="n"/>
      <c r="GH30" s="30" t="n"/>
      <c r="GI30" s="30" t="n"/>
      <c r="GJ30" s="30" t="n"/>
      <c r="GK30" s="30" t="n"/>
      <c r="GL30" s="30" t="n"/>
      <c r="GM30" s="30" t="n"/>
      <c r="GN30" s="30" t="n"/>
      <c r="GO30" s="30" t="n"/>
      <c r="GP30" s="30" t="n"/>
    </row>
    <row r="31" ht="13.8" customHeight="1" thickBot="1">
      <c r="B31" s="36" t="n"/>
      <c r="C31" s="31" t="n"/>
      <c r="D31" s="31" t="n"/>
      <c r="E31" s="31" t="n"/>
      <c r="F31" s="31" t="n"/>
      <c r="G31" s="31" t="n"/>
      <c r="H31" s="31" t="n"/>
      <c r="I31" s="31" t="n"/>
      <c r="J31" s="31" t="n"/>
      <c r="K31" s="31" t="n"/>
      <c r="L31" s="31" t="n"/>
      <c r="M31" s="31" t="n"/>
      <c r="N31" s="31" t="n"/>
      <c r="O31" s="31" t="n"/>
      <c r="P31" s="31" t="n"/>
      <c r="Q31" s="31" t="n"/>
      <c r="R31" s="31" t="n"/>
      <c r="S31" s="31" t="n"/>
      <c r="T31" s="37"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c r="EH31" s="30" t="n"/>
      <c r="EI31" s="30" t="n"/>
      <c r="EJ31" s="30" t="n"/>
      <c r="EK31" s="30" t="n"/>
      <c r="EL31" s="30" t="n"/>
      <c r="EM31" s="30" t="n"/>
      <c r="EN31" s="30" t="n"/>
      <c r="EO31" s="30" t="n"/>
      <c r="EP31" s="30" t="n"/>
      <c r="EQ31" s="30" t="n"/>
      <c r="ER31" s="30" t="n"/>
      <c r="ES31" s="30" t="n"/>
      <c r="ET31" s="30" t="n"/>
      <c r="EU31" s="30" t="n"/>
      <c r="EV31" s="30" t="n"/>
      <c r="EW31" s="30" t="n"/>
      <c r="EX31" s="30" t="n"/>
      <c r="EY31" s="30" t="n"/>
      <c r="EZ31" s="30" t="n"/>
      <c r="FA31" s="30" t="n"/>
      <c r="FB31" s="30" t="n"/>
      <c r="FC31" s="30" t="n"/>
      <c r="FD31" s="30" t="n"/>
      <c r="FE31" s="30" t="n"/>
      <c r="FF31" s="30" t="n"/>
      <c r="FG31" s="30" t="n"/>
      <c r="FH31" s="30" t="n"/>
      <c r="FI31" s="30" t="n"/>
      <c r="FJ31" s="30" t="n"/>
      <c r="FK31" s="30" t="n"/>
      <c r="FL31" s="30" t="n"/>
      <c r="FM31" s="30" t="n"/>
      <c r="FN31" s="30" t="n"/>
      <c r="FO31" s="30" t="n"/>
      <c r="FP31" s="30" t="n"/>
      <c r="FQ31" s="30" t="n"/>
      <c r="FR31" s="30" t="n"/>
      <c r="FS31" s="30" t="n"/>
      <c r="FT31" s="30" t="n"/>
      <c r="FU31" s="30" t="n"/>
      <c r="FV31" s="30" t="n"/>
      <c r="FW31" s="30" t="n"/>
      <c r="FX31" s="30" t="n"/>
      <c r="FY31" s="30" t="n"/>
      <c r="FZ31" s="30" t="n"/>
      <c r="GA31" s="30" t="n"/>
      <c r="GB31" s="30" t="n"/>
      <c r="GC31" s="30" t="n"/>
      <c r="GD31" s="30" t="n"/>
      <c r="GE31" s="30" t="n"/>
      <c r="GF31" s="30" t="n"/>
      <c r="GG31" s="30" t="n"/>
      <c r="GH31" s="30" t="n"/>
      <c r="GI31" s="30" t="n"/>
      <c r="GJ31" s="30" t="n"/>
      <c r="GK31" s="30" t="n"/>
      <c r="GL31" s="30" t="n"/>
      <c r="GM31" s="30" t="n"/>
      <c r="GN31" s="30" t="n"/>
      <c r="GO31" s="30" t="n"/>
      <c r="GP31" s="30" t="n"/>
    </row>
    <row r="32" ht="13.8" customHeight="1" thickBot="1">
      <c r="B32" s="41" t="inlineStr">
        <is>
          <t>Análisis de Resultados IT IV</t>
        </is>
      </c>
      <c r="C32" s="42" t="n"/>
      <c r="D32" s="43" t="n"/>
      <c r="E32" s="43" t="n"/>
      <c r="F32" s="42" t="n"/>
      <c r="G32" s="43" t="n"/>
      <c r="H32" s="43" t="n"/>
      <c r="I32" s="42" t="n"/>
      <c r="J32" s="43" t="n"/>
      <c r="K32" s="44" t="n"/>
      <c r="L32" s="44" t="n"/>
      <c r="M32" s="44" t="n"/>
      <c r="N32" s="44" t="n"/>
      <c r="O32" s="44" t="n"/>
      <c r="P32" s="44" t="n"/>
      <c r="Q32" s="44" t="n"/>
      <c r="R32" s="44" t="n"/>
      <c r="S32" s="44" t="n"/>
      <c r="T32" s="45"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c r="CJ32" s="30" t="n"/>
      <c r="CK32" s="30" t="n"/>
      <c r="CL32" s="30" t="n"/>
      <c r="CM32" s="30" t="n"/>
      <c r="CN32" s="30" t="n"/>
      <c r="CO32" s="30" t="n"/>
      <c r="CP32" s="30" t="n"/>
      <c r="CQ32" s="30" t="n"/>
      <c r="CR32" s="30" t="n"/>
      <c r="CS32" s="30" t="n"/>
      <c r="CT32" s="30" t="n"/>
      <c r="CU32" s="30" t="n"/>
      <c r="CV32" s="30" t="n"/>
      <c r="CW32" s="30" t="n"/>
      <c r="CX32" s="30" t="n"/>
      <c r="CY32" s="30" t="n"/>
      <c r="CZ32" s="30" t="n"/>
      <c r="DA32" s="30" t="n"/>
      <c r="DB32" s="30" t="n"/>
      <c r="DC32" s="30" t="n"/>
      <c r="DD32" s="30" t="n"/>
      <c r="DE32" s="30" t="n"/>
      <c r="DF32" s="30" t="n"/>
      <c r="DG32" s="30" t="n"/>
      <c r="DH32" s="30" t="n"/>
      <c r="DI32" s="30" t="n"/>
      <c r="DJ32" s="30" t="n"/>
      <c r="DK32" s="30" t="n"/>
      <c r="DL32" s="30" t="n"/>
      <c r="DM32" s="30" t="n"/>
      <c r="DN32" s="30" t="n"/>
      <c r="DO32" s="30" t="n"/>
      <c r="DP32" s="30" t="n"/>
      <c r="DQ32" s="30" t="n"/>
      <c r="DR32" s="30" t="n"/>
      <c r="DS32" s="30" t="n"/>
      <c r="DT32" s="30" t="n"/>
      <c r="DU32" s="30" t="n"/>
      <c r="DV32" s="30" t="n"/>
      <c r="DW32" s="30" t="n"/>
      <c r="DX32" s="30" t="n"/>
      <c r="DY32" s="30" t="n"/>
      <c r="DZ32" s="30" t="n"/>
      <c r="EA32" s="30" t="n"/>
      <c r="EB32" s="30" t="n"/>
      <c r="EC32" s="30" t="n"/>
      <c r="ED32" s="30" t="n"/>
      <c r="EE32" s="30" t="n"/>
      <c r="EF32" s="30" t="n"/>
      <c r="EG32" s="30" t="n"/>
      <c r="EH32" s="30" t="n"/>
      <c r="EI32" s="30" t="n"/>
      <c r="EJ32" s="30" t="n"/>
      <c r="EK32" s="30" t="n"/>
      <c r="EL32" s="30" t="n"/>
      <c r="EM32" s="30" t="n"/>
      <c r="EN32" s="30" t="n"/>
      <c r="EO32" s="30" t="n"/>
      <c r="EP32" s="30" t="n"/>
      <c r="EQ32" s="30" t="n"/>
      <c r="ER32" s="30" t="n"/>
      <c r="ES32" s="30" t="n"/>
      <c r="ET32" s="30" t="n"/>
      <c r="EU32" s="30" t="n"/>
      <c r="EV32" s="30" t="n"/>
      <c r="EW32" s="30" t="n"/>
      <c r="EX32" s="30" t="n"/>
      <c r="EY32" s="30" t="n"/>
      <c r="EZ32" s="30" t="n"/>
      <c r="FA32" s="30" t="n"/>
      <c r="FB32" s="30" t="n"/>
      <c r="FC32" s="30" t="n"/>
      <c r="FD32" s="30" t="n"/>
      <c r="FE32" s="30" t="n"/>
      <c r="FF32" s="30" t="n"/>
      <c r="FG32" s="30" t="n"/>
      <c r="FH32" s="30" t="n"/>
      <c r="FI32" s="30" t="n"/>
      <c r="FJ32" s="30" t="n"/>
      <c r="FK32" s="30" t="n"/>
      <c r="FL32" s="30" t="n"/>
      <c r="FM32" s="30" t="n"/>
      <c r="FN32" s="30" t="n"/>
      <c r="FO32" s="30" t="n"/>
      <c r="FP32" s="30" t="n"/>
      <c r="FQ32" s="30" t="n"/>
      <c r="FR32" s="30" t="n"/>
      <c r="FS32" s="30" t="n"/>
      <c r="FT32" s="30" t="n"/>
      <c r="FU32" s="30" t="n"/>
      <c r="FV32" s="30" t="n"/>
      <c r="FW32" s="30" t="n"/>
      <c r="FX32" s="30" t="n"/>
      <c r="FY32" s="30" t="n"/>
      <c r="FZ32" s="30" t="n"/>
      <c r="GA32" s="30" t="n"/>
      <c r="GB32" s="30" t="n"/>
      <c r="GC32" s="30" t="n"/>
      <c r="GD32" s="30" t="n"/>
      <c r="GE32" s="30" t="n"/>
      <c r="GF32" s="30" t="n"/>
      <c r="GG32" s="30" t="n"/>
      <c r="GH32" s="30" t="n"/>
      <c r="GI32" s="30" t="n"/>
      <c r="GJ32" s="30" t="n"/>
      <c r="GK32" s="30" t="n"/>
      <c r="GL32" s="30" t="n"/>
      <c r="GM32" s="30" t="n"/>
      <c r="GN32" s="30" t="n"/>
      <c r="GO32" s="30" t="n"/>
      <c r="GP32" s="30" t="n"/>
    </row>
    <row r="33" ht="13.5" customHeight="1" thickBot="1">
      <c r="B33" s="9" t="inlineStr">
        <is>
          <t>Funcionalidad o Requerimiento</t>
        </is>
      </c>
      <c r="C33" s="9" t="inlineStr">
        <is>
          <t>Nro. Reqs Prueba</t>
        </is>
      </c>
      <c r="D33" s="9" t="inlineStr">
        <is>
          <t>No Conformidades</t>
        </is>
      </c>
      <c r="E33" s="175" t="n"/>
      <c r="F33" s="176" t="n"/>
      <c r="G33" s="9" t="inlineStr">
        <is>
          <t>NC Anulados</t>
        </is>
      </c>
      <c r="H33" s="181" t="inlineStr">
        <is>
          <t>Resultados</t>
        </is>
      </c>
      <c r="I33" s="175" t="n"/>
      <c r="J33" s="175" t="n"/>
      <c r="K33" s="175" t="n"/>
      <c r="L33" s="175" t="n"/>
      <c r="M33" s="175" t="n"/>
      <c r="N33" s="175" t="n"/>
      <c r="O33" s="176" t="n"/>
      <c r="P33" s="9" t="inlineStr">
        <is>
          <t>Correctitud</t>
        </is>
      </c>
      <c r="Q33" s="9" t="inlineStr">
        <is>
          <t>Densidad NC</t>
        </is>
      </c>
      <c r="R33" s="9" t="inlineStr">
        <is>
          <t>Confiab.</t>
        </is>
      </c>
      <c r="S33" s="9" t="inlineStr">
        <is>
          <t>Cobertura</t>
        </is>
      </c>
      <c r="T33" s="9" t="inlineStr">
        <is>
          <t>Observaciones</t>
        </is>
      </c>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c r="EH33" s="30" t="n"/>
      <c r="EI33" s="30" t="n"/>
      <c r="EJ33" s="30" t="n"/>
      <c r="EK33" s="30" t="n"/>
      <c r="EL33" s="30" t="n"/>
      <c r="EM33" s="30" t="n"/>
      <c r="EN33" s="30" t="n"/>
      <c r="EO33" s="30" t="n"/>
      <c r="EP33" s="30" t="n"/>
      <c r="EQ33" s="30" t="n"/>
      <c r="ER33" s="30" t="n"/>
      <c r="ES33" s="30" t="n"/>
      <c r="ET33" s="30" t="n"/>
      <c r="EU33" s="30" t="n"/>
      <c r="EV33" s="30" t="n"/>
      <c r="EW33" s="30" t="n"/>
      <c r="EX33" s="30" t="n"/>
      <c r="EY33" s="30" t="n"/>
      <c r="EZ33" s="30" t="n"/>
      <c r="FA33" s="30" t="n"/>
      <c r="FB33" s="30" t="n"/>
      <c r="FC33" s="30" t="n"/>
      <c r="FD33" s="30" t="n"/>
      <c r="FE33" s="30" t="n"/>
      <c r="FF33" s="30" t="n"/>
      <c r="FG33" s="30" t="n"/>
      <c r="FH33" s="30" t="n"/>
      <c r="FI33" s="30" t="n"/>
      <c r="FJ33" s="30" t="n"/>
      <c r="FK33" s="30" t="n"/>
      <c r="FL33" s="30" t="n"/>
      <c r="FM33" s="30" t="n"/>
      <c r="FN33" s="30" t="n"/>
      <c r="FO33" s="30" t="n"/>
      <c r="FP33" s="30" t="n"/>
      <c r="FQ33" s="30" t="n"/>
      <c r="FR33" s="30" t="n"/>
      <c r="FS33" s="30" t="n"/>
      <c r="FT33" s="30" t="n"/>
      <c r="FU33" s="30" t="n"/>
      <c r="FV33" s="30" t="n"/>
      <c r="FW33" s="30" t="n"/>
      <c r="FX33" s="30" t="n"/>
      <c r="FY33" s="30" t="n"/>
      <c r="FZ33" s="30" t="n"/>
      <c r="GA33" s="30" t="n"/>
      <c r="GB33" s="30" t="n"/>
      <c r="GC33" s="30" t="n"/>
      <c r="GD33" s="30" t="n"/>
      <c r="GE33" s="30" t="n"/>
      <c r="GF33" s="30" t="n"/>
      <c r="GG33" s="30" t="n"/>
      <c r="GH33" s="30" t="n"/>
      <c r="GI33" s="30" t="n"/>
      <c r="GJ33" s="30" t="n"/>
      <c r="GK33" s="30" t="n"/>
      <c r="GL33" s="30" t="n"/>
      <c r="GM33" s="30" t="n"/>
      <c r="GN33" s="30" t="n"/>
      <c r="GO33" s="30" t="n"/>
      <c r="GP33" s="30" t="n"/>
    </row>
    <row r="34" ht="13.8" customHeight="1" thickBot="1">
      <c r="B34" s="178" t="n"/>
      <c r="C34" s="178" t="n"/>
      <c r="D34" s="9" t="inlineStr">
        <is>
          <t>Bloqueante</t>
        </is>
      </c>
      <c r="E34" s="9" t="inlineStr">
        <is>
          <t>Funcional</t>
        </is>
      </c>
      <c r="F34" s="9" t="inlineStr">
        <is>
          <t>Presentación</t>
        </is>
      </c>
      <c r="G34" s="178" t="n"/>
      <c r="H34" s="181" t="inlineStr">
        <is>
          <t>Ejecutados</t>
        </is>
      </c>
      <c r="I34" s="176" t="n"/>
      <c r="J34" s="179" t="inlineStr">
        <is>
          <t>OK</t>
        </is>
      </c>
      <c r="K34" s="180" t="n"/>
      <c r="L34" s="182" t="inlineStr">
        <is>
          <t>NOK</t>
        </is>
      </c>
      <c r="M34" s="180" t="n"/>
      <c r="N34" s="181" t="inlineStr">
        <is>
          <t>PDTE</t>
        </is>
      </c>
      <c r="O34" s="176" t="n"/>
      <c r="P34" s="178" t="n"/>
      <c r="Q34" s="178" t="n"/>
      <c r="R34" s="178" t="n"/>
      <c r="S34" s="178" t="n"/>
      <c r="T34" s="178"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c r="CJ34" s="30" t="n"/>
      <c r="CK34" s="30" t="n"/>
      <c r="CL34" s="30" t="n"/>
      <c r="CM34" s="30" t="n"/>
      <c r="CN34" s="30" t="n"/>
      <c r="CO34" s="30" t="n"/>
      <c r="CP34" s="30" t="n"/>
      <c r="CQ34" s="30" t="n"/>
      <c r="CR34" s="30" t="n"/>
      <c r="CS34" s="30" t="n"/>
      <c r="CT34" s="30" t="n"/>
      <c r="CU34" s="30" t="n"/>
      <c r="CV34" s="30" t="n"/>
      <c r="CW34" s="30" t="n"/>
      <c r="CX34" s="30" t="n"/>
      <c r="CY34" s="30" t="n"/>
      <c r="CZ34" s="30" t="n"/>
      <c r="DA34" s="30" t="n"/>
      <c r="DB34" s="30" t="n"/>
      <c r="DC34" s="30" t="n"/>
      <c r="DD34" s="30" t="n"/>
      <c r="DE34" s="30" t="n"/>
      <c r="DF34" s="30" t="n"/>
      <c r="DG34" s="30" t="n"/>
      <c r="DH34" s="30" t="n"/>
      <c r="DI34" s="30" t="n"/>
      <c r="DJ34" s="30" t="n"/>
      <c r="DK34" s="30" t="n"/>
      <c r="DL34" s="30" t="n"/>
      <c r="DM34" s="30" t="n"/>
      <c r="DN34" s="30" t="n"/>
      <c r="DO34" s="30" t="n"/>
      <c r="DP34" s="30" t="n"/>
      <c r="DQ34" s="30" t="n"/>
      <c r="DR34" s="30" t="n"/>
      <c r="DS34" s="30" t="n"/>
      <c r="DT34" s="30" t="n"/>
      <c r="DU34" s="30" t="n"/>
      <c r="DV34" s="30" t="n"/>
      <c r="DW34" s="30" t="n"/>
      <c r="DX34" s="30" t="n"/>
      <c r="DY34" s="30" t="n"/>
      <c r="DZ34" s="30" t="n"/>
      <c r="EA34" s="30" t="n"/>
      <c r="EB34" s="30" t="n"/>
      <c r="EC34" s="30" t="n"/>
      <c r="ED34" s="30" t="n"/>
      <c r="EE34" s="30" t="n"/>
      <c r="EF34" s="30" t="n"/>
      <c r="EG34" s="30" t="n"/>
      <c r="EH34" s="30" t="n"/>
      <c r="EI34" s="30" t="n"/>
      <c r="EJ34" s="30" t="n"/>
      <c r="EK34" s="30" t="n"/>
      <c r="EL34" s="30" t="n"/>
      <c r="EM34" s="30" t="n"/>
      <c r="EN34" s="30" t="n"/>
      <c r="EO34" s="30" t="n"/>
      <c r="EP34" s="30" t="n"/>
      <c r="EQ34" s="30" t="n"/>
      <c r="ER34" s="30" t="n"/>
      <c r="ES34" s="30" t="n"/>
      <c r="ET34" s="30" t="n"/>
      <c r="EU34" s="30" t="n"/>
      <c r="EV34" s="30" t="n"/>
      <c r="EW34" s="30" t="n"/>
      <c r="EX34" s="30" t="n"/>
      <c r="EY34" s="30" t="n"/>
      <c r="EZ34" s="30" t="n"/>
      <c r="FA34" s="30" t="n"/>
      <c r="FB34" s="30" t="n"/>
      <c r="FC34" s="30" t="n"/>
      <c r="FD34" s="30" t="n"/>
      <c r="FE34" s="30" t="n"/>
      <c r="FF34" s="30" t="n"/>
      <c r="FG34" s="30" t="n"/>
      <c r="FH34" s="30" t="n"/>
      <c r="FI34" s="30" t="n"/>
      <c r="FJ34" s="30" t="n"/>
      <c r="FK34" s="30" t="n"/>
      <c r="FL34" s="30" t="n"/>
      <c r="FM34" s="30" t="n"/>
      <c r="FN34" s="30" t="n"/>
      <c r="FO34" s="30" t="n"/>
      <c r="FP34" s="30" t="n"/>
      <c r="FQ34" s="30" t="n"/>
      <c r="FR34" s="30" t="n"/>
      <c r="FS34" s="30" t="n"/>
      <c r="FT34" s="30" t="n"/>
      <c r="FU34" s="30" t="n"/>
      <c r="FV34" s="30" t="n"/>
      <c r="FW34" s="30" t="n"/>
      <c r="FX34" s="30" t="n"/>
      <c r="FY34" s="30" t="n"/>
      <c r="FZ34" s="30" t="n"/>
      <c r="GA34" s="30" t="n"/>
      <c r="GB34" s="30" t="n"/>
      <c r="GC34" s="30" t="n"/>
      <c r="GD34" s="30" t="n"/>
      <c r="GE34" s="30" t="n"/>
      <c r="GF34" s="30" t="n"/>
      <c r="GG34" s="30" t="n"/>
      <c r="GH34" s="30" t="n"/>
      <c r="GI34" s="30" t="n"/>
      <c r="GJ34" s="30" t="n"/>
      <c r="GK34" s="30" t="n"/>
      <c r="GL34" s="30" t="n"/>
      <c r="GM34" s="30" t="n"/>
      <c r="GN34" s="30" t="n"/>
      <c r="GO34" s="30" t="n"/>
      <c r="GP34" s="30" t="n"/>
    </row>
    <row r="35" customFormat="1" s="7">
      <c r="B35" s="22">
        <f>IF(#REF!=0,"",#REF!)</f>
        <v/>
      </c>
      <c r="C35" s="17">
        <f>IF(COUNTIF(#REF!,"OK")+COUNTIF(#REF!,"NOK")+COUNTIF(#REF!,"PDTE")+COUNTIF(#REF!,"N/A")=0,"",COUNTIF(#REF!,"OK")+COUNTIF(#REF!,"NOK")+COUNTIF(#REF!,"PDTE")+COUNTIF(#REF!,"N/A"))</f>
        <v/>
      </c>
      <c r="D35" s="10" t="n"/>
      <c r="E35" s="10" t="n"/>
      <c r="F35" s="10" t="n"/>
      <c r="G35" s="17">
        <f>IF(COUNTIF(#REF!,"N/A")=0,"",COUNTIF(#REF!,"N/A"))</f>
        <v/>
      </c>
      <c r="H35" s="17">
        <f>IF(COUNTIF(#REF!,"OK")+COUNTIF(#REF!,"NOK")=0,"",COUNTIF(#REF!,"OK")+COUNTIF(#REF!,"NOK"))</f>
        <v/>
      </c>
      <c r="I35" s="6">
        <f>IF(OR(C35=" ",OR(H35="",H35=0)),"",H35/C35)</f>
        <v/>
      </c>
      <c r="J35" s="23">
        <f>IF(COUNTIF(#REF!,"OK")=0,"",COUNTIF(#REF!,"OK"))</f>
        <v/>
      </c>
      <c r="K35" s="6">
        <f>IF(OR(C35=" ",OR(J35="",J35=0)),"",J35/C35)</f>
        <v/>
      </c>
      <c r="L35" s="23">
        <f>IF(COUNTIF(#REF!,"NOK")=0,"",COUNTIF(#REF!,"NOK"))</f>
        <v/>
      </c>
      <c r="M35" s="6">
        <f>IF(OR(C35=" ",OR(L35="",L35=0)),"",L35/C35)</f>
        <v/>
      </c>
      <c r="N35" s="23">
        <f>IF(COUNTIF(#REF!,"PDTE")=0,"",COUNTIF(#REF!,"PDTE"))</f>
        <v/>
      </c>
      <c r="O35" s="6">
        <f>IF(OR(C35=" ",OR(N35="",N35=0)),"",N35/C35)</f>
        <v/>
      </c>
      <c r="P35" s="6">
        <f>IF(OR(H35=0,H35=""),"",SUM(J35)/H35)</f>
        <v/>
      </c>
      <c r="Q35" s="6">
        <f>IF(OR(H35=0,H35=""),"",SUM(D35:F35)/H35)</f>
        <v/>
      </c>
      <c r="R35" s="6">
        <f>IF(Q35="","",1-Q35)</f>
        <v/>
      </c>
      <c r="S35" s="6">
        <f>IF(OR(I35="",I35=0),"",I35)</f>
        <v/>
      </c>
      <c r="T35" s="24"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39" t="n"/>
      <c r="AZ35" s="39" t="n"/>
      <c r="BA35" s="39" t="n"/>
      <c r="BB35" s="39" t="n"/>
      <c r="BC35" s="39" t="n"/>
      <c r="BD35" s="39" t="n"/>
      <c r="BE35" s="39" t="n"/>
      <c r="BF35" s="39" t="n"/>
      <c r="BG35" s="39" t="n"/>
      <c r="BH35" s="39" t="n"/>
      <c r="BI35" s="39" t="n"/>
      <c r="BJ35" s="39" t="n"/>
      <c r="BK35" s="39" t="n"/>
      <c r="BL35" s="39" t="n"/>
      <c r="BM35" s="39" t="n"/>
      <c r="BN35" s="39" t="n"/>
      <c r="BO35" s="39" t="n"/>
      <c r="BP35" s="39" t="n"/>
      <c r="BQ35" s="39" t="n"/>
      <c r="BR35" s="39" t="n"/>
      <c r="BS35" s="39" t="n"/>
      <c r="BT35" s="39" t="n"/>
      <c r="BU35" s="39" t="n"/>
      <c r="BV35" s="39" t="n"/>
      <c r="BW35" s="39" t="n"/>
      <c r="BX35" s="39" t="n"/>
      <c r="BY35" s="39" t="n"/>
      <c r="BZ35" s="39" t="n"/>
      <c r="CA35" s="39" t="n"/>
      <c r="CB35" s="39" t="n"/>
      <c r="CC35" s="39" t="n"/>
      <c r="CD35" s="39" t="n"/>
      <c r="CE35" s="39" t="n"/>
      <c r="CF35" s="39" t="n"/>
      <c r="CG35" s="39" t="n"/>
      <c r="CH35" s="39" t="n"/>
      <c r="CI35" s="39" t="n"/>
      <c r="CJ35" s="39" t="n"/>
      <c r="CK35" s="39" t="n"/>
      <c r="CL35" s="39" t="n"/>
      <c r="CM35" s="39" t="n"/>
      <c r="CN35" s="39" t="n"/>
      <c r="CO35" s="39" t="n"/>
      <c r="CP35" s="39" t="n"/>
      <c r="CQ35" s="39" t="n"/>
      <c r="CR35" s="39" t="n"/>
      <c r="CS35" s="39" t="n"/>
      <c r="CT35" s="39" t="n"/>
      <c r="CU35" s="39" t="n"/>
      <c r="CV35" s="39" t="n"/>
      <c r="CW35" s="39" t="n"/>
      <c r="CX35" s="39" t="n"/>
      <c r="CY35" s="39" t="n"/>
      <c r="CZ35" s="39" t="n"/>
      <c r="DA35" s="39" t="n"/>
      <c r="DB35" s="39" t="n"/>
      <c r="DC35" s="39" t="n"/>
      <c r="DD35" s="39" t="n"/>
      <c r="DE35" s="39" t="n"/>
      <c r="DF35" s="39" t="n"/>
      <c r="DG35" s="39" t="n"/>
      <c r="DH35" s="39" t="n"/>
      <c r="DI35" s="39" t="n"/>
      <c r="DJ35" s="39" t="n"/>
      <c r="DK35" s="39" t="n"/>
      <c r="DL35" s="39" t="n"/>
      <c r="DM35" s="39" t="n"/>
      <c r="DN35" s="39" t="n"/>
      <c r="DO35" s="39" t="n"/>
      <c r="DP35" s="39" t="n"/>
      <c r="DQ35" s="39" t="n"/>
      <c r="DR35" s="39" t="n"/>
      <c r="DS35" s="39" t="n"/>
      <c r="DT35" s="39" t="n"/>
      <c r="DU35" s="39" t="n"/>
      <c r="DV35" s="39" t="n"/>
      <c r="DW35" s="39" t="n"/>
      <c r="DX35" s="39" t="n"/>
      <c r="DY35" s="39" t="n"/>
      <c r="DZ35" s="39" t="n"/>
      <c r="EA35" s="39" t="n"/>
      <c r="EB35" s="39" t="n"/>
      <c r="EC35" s="39" t="n"/>
      <c r="ED35" s="39" t="n"/>
      <c r="EE35" s="39" t="n"/>
      <c r="EF35" s="39" t="n"/>
      <c r="EG35" s="39" t="n"/>
      <c r="EH35" s="39" t="n"/>
      <c r="EI35" s="39" t="n"/>
      <c r="EJ35" s="39" t="n"/>
      <c r="EK35" s="39" t="n"/>
      <c r="EL35" s="39" t="n"/>
      <c r="EM35" s="39" t="n"/>
      <c r="EN35" s="39" t="n"/>
      <c r="EO35" s="39" t="n"/>
      <c r="EP35" s="39" t="n"/>
      <c r="EQ35" s="39" t="n"/>
      <c r="ER35" s="39" t="n"/>
      <c r="ES35" s="39" t="n"/>
      <c r="ET35" s="39" t="n"/>
      <c r="EU35" s="39" t="n"/>
      <c r="EV35" s="39" t="n"/>
      <c r="EW35" s="39" t="n"/>
      <c r="EX35" s="39" t="n"/>
      <c r="EY35" s="39" t="n"/>
      <c r="EZ35" s="39" t="n"/>
      <c r="FA35" s="39" t="n"/>
      <c r="FB35" s="39" t="n"/>
      <c r="FC35" s="39" t="n"/>
      <c r="FD35" s="39" t="n"/>
      <c r="FE35" s="39" t="n"/>
      <c r="FF35" s="39" t="n"/>
      <c r="FG35" s="39" t="n"/>
      <c r="FH35" s="39" t="n"/>
      <c r="FI35" s="39" t="n"/>
      <c r="FJ35" s="39" t="n"/>
      <c r="FK35" s="39" t="n"/>
      <c r="FL35" s="39" t="n"/>
      <c r="FM35" s="39" t="n"/>
      <c r="FN35" s="39" t="n"/>
      <c r="FO35" s="39" t="n"/>
      <c r="FP35" s="39" t="n"/>
      <c r="FQ35" s="39" t="n"/>
      <c r="FR35" s="39" t="n"/>
      <c r="FS35" s="39" t="n"/>
      <c r="FT35" s="39" t="n"/>
      <c r="FU35" s="39" t="n"/>
      <c r="FV35" s="39" t="n"/>
      <c r="FW35" s="39" t="n"/>
      <c r="FX35" s="39" t="n"/>
      <c r="FY35" s="39" t="n"/>
      <c r="FZ35" s="39" t="n"/>
      <c r="GA35" s="39" t="n"/>
      <c r="GB35" s="39" t="n"/>
      <c r="GC35" s="39" t="n"/>
      <c r="GD35" s="39" t="n"/>
      <c r="GE35" s="39" t="n"/>
      <c r="GF35" s="39" t="n"/>
      <c r="GG35" s="39" t="n"/>
      <c r="GH35" s="39" t="n"/>
      <c r="GI35" s="39" t="n"/>
      <c r="GJ35" s="39" t="n"/>
      <c r="GK35" s="39" t="n"/>
      <c r="GL35" s="39" t="n"/>
      <c r="GM35" s="39" t="n"/>
      <c r="GN35" s="39" t="n"/>
      <c r="GO35" s="39" t="n"/>
      <c r="GP35" s="39" t="n"/>
    </row>
    <row r="36" customFormat="1" s="7">
      <c r="B36" s="2" t="n"/>
      <c r="C36" s="4" t="n"/>
      <c r="D36" s="4" t="n"/>
      <c r="E36" s="4" t="n"/>
      <c r="F36" s="4" t="n"/>
      <c r="G36" s="4" t="n"/>
      <c r="H36" s="4" t="n"/>
      <c r="I36" s="6">
        <f>IF(OR(C36=" ",OR(H36="",H36=0)),"",H36/C36)</f>
        <v/>
      </c>
      <c r="J36" s="12" t="n"/>
      <c r="K36" s="6">
        <f>IF(OR(C36=" ",OR(J36="",J36=0)),"",J36/C36)</f>
        <v/>
      </c>
      <c r="L36" s="12" t="n"/>
      <c r="M36" s="6">
        <f>IF(OR(C36=" ",OR(L36="",L36=0)),"",L36/C36)</f>
        <v/>
      </c>
      <c r="N36" s="11" t="n"/>
      <c r="O36" s="6">
        <f>IF(OR(C36=" ",OR(N36="",N36=0)),"",N36/C36)</f>
        <v/>
      </c>
      <c r="P36" s="6">
        <f>IF(OR(H36=0,H36=""),"",J36/H36)</f>
        <v/>
      </c>
      <c r="Q36" s="6">
        <f>IF(OR(H36=0,H36=""),"",SUM(D36:E36)/H36)</f>
        <v/>
      </c>
      <c r="R36" s="6">
        <f>IF(Q36="","",1-Q36)</f>
        <v/>
      </c>
      <c r="S36" s="6">
        <f>IF(OR(I36="",I36=0),"",I36)</f>
        <v/>
      </c>
      <c r="T36" s="13"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39" t="n"/>
      <c r="AZ36" s="39" t="n"/>
      <c r="BA36" s="39" t="n"/>
      <c r="BB36" s="39" t="n"/>
      <c r="BC36" s="39" t="n"/>
      <c r="BD36" s="39" t="n"/>
      <c r="BE36" s="39" t="n"/>
      <c r="BF36" s="39" t="n"/>
      <c r="BG36" s="39" t="n"/>
      <c r="BH36" s="39" t="n"/>
      <c r="BI36" s="39" t="n"/>
      <c r="BJ36" s="39" t="n"/>
      <c r="BK36" s="39" t="n"/>
      <c r="BL36" s="39" t="n"/>
      <c r="BM36" s="39" t="n"/>
      <c r="BN36" s="39" t="n"/>
      <c r="BO36" s="39" t="n"/>
      <c r="BP36" s="39" t="n"/>
      <c r="BQ36" s="39" t="n"/>
      <c r="BR36" s="39" t="n"/>
      <c r="BS36" s="39" t="n"/>
      <c r="BT36" s="39" t="n"/>
      <c r="BU36" s="39" t="n"/>
      <c r="BV36" s="39" t="n"/>
      <c r="BW36" s="39" t="n"/>
      <c r="BX36" s="39" t="n"/>
      <c r="BY36" s="39" t="n"/>
      <c r="BZ36" s="39" t="n"/>
      <c r="CA36" s="39" t="n"/>
      <c r="CB36" s="39" t="n"/>
      <c r="CC36" s="39" t="n"/>
      <c r="CD36" s="39" t="n"/>
      <c r="CE36" s="39" t="n"/>
      <c r="CF36" s="39" t="n"/>
      <c r="CG36" s="39" t="n"/>
      <c r="CH36" s="39" t="n"/>
      <c r="CI36" s="39" t="n"/>
      <c r="CJ36" s="39" t="n"/>
      <c r="CK36" s="39" t="n"/>
      <c r="CL36" s="39" t="n"/>
      <c r="CM36" s="39" t="n"/>
      <c r="CN36" s="39" t="n"/>
      <c r="CO36" s="39" t="n"/>
      <c r="CP36" s="39" t="n"/>
      <c r="CQ36" s="39" t="n"/>
      <c r="CR36" s="39" t="n"/>
      <c r="CS36" s="39" t="n"/>
      <c r="CT36" s="39" t="n"/>
      <c r="CU36" s="39" t="n"/>
      <c r="CV36" s="39" t="n"/>
      <c r="CW36" s="39" t="n"/>
      <c r="CX36" s="39" t="n"/>
      <c r="CY36" s="39" t="n"/>
      <c r="CZ36" s="39" t="n"/>
      <c r="DA36" s="39" t="n"/>
      <c r="DB36" s="39" t="n"/>
      <c r="DC36" s="39" t="n"/>
      <c r="DD36" s="39" t="n"/>
      <c r="DE36" s="39" t="n"/>
      <c r="DF36" s="39" t="n"/>
      <c r="DG36" s="39" t="n"/>
      <c r="DH36" s="39" t="n"/>
      <c r="DI36" s="39" t="n"/>
      <c r="DJ36" s="39" t="n"/>
      <c r="DK36" s="39" t="n"/>
      <c r="DL36" s="39" t="n"/>
      <c r="DM36" s="39" t="n"/>
      <c r="DN36" s="39" t="n"/>
      <c r="DO36" s="39" t="n"/>
      <c r="DP36" s="39" t="n"/>
      <c r="DQ36" s="39" t="n"/>
      <c r="DR36" s="39" t="n"/>
      <c r="DS36" s="39" t="n"/>
      <c r="DT36" s="39" t="n"/>
      <c r="DU36" s="39" t="n"/>
      <c r="DV36" s="39" t="n"/>
      <c r="DW36" s="39" t="n"/>
      <c r="DX36" s="39" t="n"/>
      <c r="DY36" s="39" t="n"/>
      <c r="DZ36" s="39" t="n"/>
      <c r="EA36" s="39" t="n"/>
      <c r="EB36" s="39" t="n"/>
      <c r="EC36" s="39" t="n"/>
      <c r="ED36" s="39" t="n"/>
      <c r="EE36" s="39" t="n"/>
      <c r="EF36" s="39" t="n"/>
      <c r="EG36" s="39" t="n"/>
      <c r="EH36" s="39" t="n"/>
      <c r="EI36" s="39" t="n"/>
      <c r="EJ36" s="39" t="n"/>
      <c r="EK36" s="39" t="n"/>
      <c r="EL36" s="39" t="n"/>
      <c r="EM36" s="39" t="n"/>
      <c r="EN36" s="39" t="n"/>
      <c r="EO36" s="39" t="n"/>
      <c r="EP36" s="39" t="n"/>
      <c r="EQ36" s="39" t="n"/>
      <c r="ER36" s="39" t="n"/>
      <c r="ES36" s="39" t="n"/>
      <c r="ET36" s="39" t="n"/>
      <c r="EU36" s="39" t="n"/>
      <c r="EV36" s="39" t="n"/>
      <c r="EW36" s="39" t="n"/>
      <c r="EX36" s="39" t="n"/>
      <c r="EY36" s="39" t="n"/>
      <c r="EZ36" s="39" t="n"/>
      <c r="FA36" s="39" t="n"/>
      <c r="FB36" s="39" t="n"/>
      <c r="FC36" s="39" t="n"/>
      <c r="FD36" s="39" t="n"/>
      <c r="FE36" s="39" t="n"/>
      <c r="FF36" s="39" t="n"/>
      <c r="FG36" s="39" t="n"/>
      <c r="FH36" s="39" t="n"/>
      <c r="FI36" s="39" t="n"/>
      <c r="FJ36" s="39" t="n"/>
      <c r="FK36" s="39" t="n"/>
      <c r="FL36" s="39" t="n"/>
      <c r="FM36" s="39" t="n"/>
      <c r="FN36" s="39" t="n"/>
      <c r="FO36" s="39" t="n"/>
      <c r="FP36" s="39" t="n"/>
      <c r="FQ36" s="39" t="n"/>
      <c r="FR36" s="39" t="n"/>
      <c r="FS36" s="39" t="n"/>
      <c r="FT36" s="39" t="n"/>
      <c r="FU36" s="39" t="n"/>
      <c r="FV36" s="39" t="n"/>
      <c r="FW36" s="39" t="n"/>
      <c r="FX36" s="39" t="n"/>
      <c r="FY36" s="39" t="n"/>
      <c r="FZ36" s="39" t="n"/>
      <c r="GA36" s="39" t="n"/>
      <c r="GB36" s="39" t="n"/>
      <c r="GC36" s="39" t="n"/>
      <c r="GD36" s="39" t="n"/>
      <c r="GE36" s="39" t="n"/>
      <c r="GF36" s="39" t="n"/>
      <c r="GG36" s="39" t="n"/>
      <c r="GH36" s="39" t="n"/>
      <c r="GI36" s="39" t="n"/>
      <c r="GJ36" s="39" t="n"/>
      <c r="GK36" s="39" t="n"/>
      <c r="GL36" s="39" t="n"/>
      <c r="GM36" s="39" t="n"/>
      <c r="GN36" s="39" t="n"/>
      <c r="GO36" s="39" t="n"/>
      <c r="GP36" s="39" t="n"/>
    </row>
    <row r="37" customFormat="1" s="7">
      <c r="B37" s="2" t="n"/>
      <c r="C37" s="4" t="n"/>
      <c r="D37" s="4" t="n"/>
      <c r="E37" s="4" t="n"/>
      <c r="F37" s="4" t="n"/>
      <c r="G37" s="4" t="n"/>
      <c r="H37" s="4" t="n"/>
      <c r="I37" s="6">
        <f>IF(OR(C37=" ",OR(H37="",H37=0)),"",H37/C37)</f>
        <v/>
      </c>
      <c r="J37" s="12" t="n"/>
      <c r="K37" s="6">
        <f>IF(OR(C37=" ",OR(J37="",J37=0)),"",J37/C37)</f>
        <v/>
      </c>
      <c r="L37" s="12" t="n"/>
      <c r="M37" s="6">
        <f>IF(OR(C37=" ",OR(L37="",L37=0)),"",L37/C37)</f>
        <v/>
      </c>
      <c r="N37" s="11" t="n"/>
      <c r="O37" s="6">
        <f>IF(OR(C37=" ",OR(N37="",N37=0)),"",N37/C37)</f>
        <v/>
      </c>
      <c r="P37" s="6">
        <f>IF(OR(H37=0,H37=""),"",J37/H37)</f>
        <v/>
      </c>
      <c r="Q37" s="6">
        <f>IF(OR(H37=0,H37=""),"",SUM(D37:E37)/H37)</f>
        <v/>
      </c>
      <c r="R37" s="6">
        <f>IF(Q37="","",1-Q37)</f>
        <v/>
      </c>
      <c r="S37" s="6">
        <f>IF(OR(I37="",I37=0),"",I37)</f>
        <v/>
      </c>
      <c r="T37" s="13"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9" t="n"/>
      <c r="BV37" s="39" t="n"/>
      <c r="BW37" s="39" t="n"/>
      <c r="BX37" s="39" t="n"/>
      <c r="BY37" s="39" t="n"/>
      <c r="BZ37" s="39" t="n"/>
      <c r="CA37" s="39" t="n"/>
      <c r="CB37" s="39" t="n"/>
      <c r="CC37" s="39" t="n"/>
      <c r="CD37" s="39" t="n"/>
      <c r="CE37" s="39" t="n"/>
      <c r="CF37" s="39" t="n"/>
      <c r="CG37" s="39" t="n"/>
      <c r="CH37" s="39" t="n"/>
      <c r="CI37" s="39" t="n"/>
      <c r="CJ37" s="39" t="n"/>
      <c r="CK37" s="39" t="n"/>
      <c r="CL37" s="39" t="n"/>
      <c r="CM37" s="39" t="n"/>
      <c r="CN37" s="39" t="n"/>
      <c r="CO37" s="39" t="n"/>
      <c r="CP37" s="39" t="n"/>
      <c r="CQ37" s="39" t="n"/>
      <c r="CR37" s="39" t="n"/>
      <c r="CS37" s="39" t="n"/>
      <c r="CT37" s="39" t="n"/>
      <c r="CU37" s="39" t="n"/>
      <c r="CV37" s="39" t="n"/>
      <c r="CW37" s="39" t="n"/>
      <c r="CX37" s="39" t="n"/>
      <c r="CY37" s="39" t="n"/>
      <c r="CZ37" s="39" t="n"/>
      <c r="DA37" s="39" t="n"/>
      <c r="DB37" s="39" t="n"/>
      <c r="DC37" s="39" t="n"/>
      <c r="DD37" s="39" t="n"/>
      <c r="DE37" s="39" t="n"/>
      <c r="DF37" s="39" t="n"/>
      <c r="DG37" s="39" t="n"/>
      <c r="DH37" s="39" t="n"/>
      <c r="DI37" s="39" t="n"/>
      <c r="DJ37" s="39" t="n"/>
      <c r="DK37" s="39" t="n"/>
      <c r="DL37" s="39" t="n"/>
      <c r="DM37" s="39" t="n"/>
      <c r="DN37" s="39" t="n"/>
      <c r="DO37" s="39" t="n"/>
      <c r="DP37" s="39" t="n"/>
      <c r="DQ37" s="39" t="n"/>
      <c r="DR37" s="39" t="n"/>
      <c r="DS37" s="39" t="n"/>
      <c r="DT37" s="39" t="n"/>
      <c r="DU37" s="39" t="n"/>
      <c r="DV37" s="39" t="n"/>
      <c r="DW37" s="39" t="n"/>
      <c r="DX37" s="39" t="n"/>
      <c r="DY37" s="39" t="n"/>
      <c r="DZ37" s="39" t="n"/>
      <c r="EA37" s="39" t="n"/>
      <c r="EB37" s="39" t="n"/>
      <c r="EC37" s="39" t="n"/>
      <c r="ED37" s="39" t="n"/>
      <c r="EE37" s="39" t="n"/>
      <c r="EF37" s="39" t="n"/>
      <c r="EG37" s="39" t="n"/>
      <c r="EH37" s="39" t="n"/>
      <c r="EI37" s="39" t="n"/>
      <c r="EJ37" s="39" t="n"/>
      <c r="EK37" s="39" t="n"/>
      <c r="EL37" s="39" t="n"/>
      <c r="EM37" s="39" t="n"/>
      <c r="EN37" s="39" t="n"/>
      <c r="EO37" s="39" t="n"/>
      <c r="EP37" s="39" t="n"/>
      <c r="EQ37" s="39" t="n"/>
      <c r="ER37" s="39" t="n"/>
      <c r="ES37" s="39" t="n"/>
      <c r="ET37" s="39" t="n"/>
      <c r="EU37" s="39" t="n"/>
      <c r="EV37" s="39" t="n"/>
      <c r="EW37" s="39" t="n"/>
      <c r="EX37" s="39" t="n"/>
      <c r="EY37" s="39" t="n"/>
      <c r="EZ37" s="39" t="n"/>
      <c r="FA37" s="39" t="n"/>
      <c r="FB37" s="39" t="n"/>
      <c r="FC37" s="39" t="n"/>
      <c r="FD37" s="39" t="n"/>
      <c r="FE37" s="39" t="n"/>
      <c r="FF37" s="39" t="n"/>
      <c r="FG37" s="39" t="n"/>
      <c r="FH37" s="39" t="n"/>
      <c r="FI37" s="39" t="n"/>
      <c r="FJ37" s="39" t="n"/>
      <c r="FK37" s="39" t="n"/>
      <c r="FL37" s="39" t="n"/>
      <c r="FM37" s="39" t="n"/>
      <c r="FN37" s="39" t="n"/>
      <c r="FO37" s="39" t="n"/>
      <c r="FP37" s="39" t="n"/>
      <c r="FQ37" s="39" t="n"/>
      <c r="FR37" s="39" t="n"/>
      <c r="FS37" s="39" t="n"/>
      <c r="FT37" s="39" t="n"/>
      <c r="FU37" s="39" t="n"/>
      <c r="FV37" s="39" t="n"/>
      <c r="FW37" s="39" t="n"/>
      <c r="FX37" s="39" t="n"/>
      <c r="FY37" s="39" t="n"/>
      <c r="FZ37" s="39" t="n"/>
      <c r="GA37" s="39" t="n"/>
      <c r="GB37" s="39" t="n"/>
      <c r="GC37" s="39" t="n"/>
      <c r="GD37" s="39" t="n"/>
      <c r="GE37" s="39" t="n"/>
      <c r="GF37" s="39" t="n"/>
      <c r="GG37" s="39" t="n"/>
      <c r="GH37" s="39" t="n"/>
      <c r="GI37" s="39" t="n"/>
      <c r="GJ37" s="39" t="n"/>
      <c r="GK37" s="39" t="n"/>
      <c r="GL37" s="39" t="n"/>
      <c r="GM37" s="39" t="n"/>
      <c r="GN37" s="39" t="n"/>
      <c r="GO37" s="39" t="n"/>
      <c r="GP37" s="39" t="n"/>
    </row>
    <row r="38" ht="14.4" customHeight="1" thickBot="1">
      <c r="B38" s="14" t="inlineStr">
        <is>
          <t>Total</t>
        </is>
      </c>
      <c r="C38" s="15">
        <f>IF(OR(C35=0,C35=""),"",SUM(C35:C37))</f>
        <v/>
      </c>
      <c r="D38" s="15">
        <f>IF(OR(D35=0,D35=""),"",SUM(D35:D37))</f>
        <v/>
      </c>
      <c r="E38" s="15">
        <f>IF(OR(E35=0,E35=""),"",SUM(E35:E37))</f>
        <v/>
      </c>
      <c r="F38" s="15">
        <f>IF(OR(F35=0,F35=""),"",SUM(F35:F37))</f>
        <v/>
      </c>
      <c r="G38" s="15">
        <f>IF(OR(G35=0,G35=""),"",SUM(G35:G37))</f>
        <v/>
      </c>
      <c r="H38" s="15">
        <f>IF(OR(H35=0,H35=""),"",SUM(H35:H37))</f>
        <v/>
      </c>
      <c r="I38" s="1">
        <f>IF(OR(H38=0,H38=""),"",AVERAGE(I35:I37))</f>
        <v/>
      </c>
      <c r="J38" s="15">
        <f>IF(OR(J35=0,J35=""),"",SUM(J35:J37))</f>
        <v/>
      </c>
      <c r="K38" s="1">
        <f>IF(OR(J38=0,J38=""),"",AVERAGE(K35:K37))</f>
        <v/>
      </c>
      <c r="L38" s="15">
        <f>IF(OR(L35=0,L35=""),"",SUM(L35:L37))</f>
        <v/>
      </c>
      <c r="M38" s="1">
        <f>IF(OR(L38=0,L38=""),"",AVERAGE(M35:M37))</f>
        <v/>
      </c>
      <c r="N38" s="15">
        <f>IF(OR(N35=0,N35=""),"",SUM(N35:N37))</f>
        <v/>
      </c>
      <c r="O38" s="1">
        <f>IF(OR(N38=0,N38=""),"",AVERAGE(O35:O37))</f>
        <v/>
      </c>
      <c r="P38" s="1">
        <f>IF(OR(P35=""),"",AVERAGE(P35:P37))</f>
        <v/>
      </c>
      <c r="Q38" s="1">
        <f>IF(OR(Q35=""),"",AVERAGE(Q35:Q37))</f>
        <v/>
      </c>
      <c r="R38" s="1">
        <f>IF(OR(R35=0,R35=""),"",AVERAGE(R35:R37))</f>
        <v/>
      </c>
      <c r="S38" s="1">
        <f>IF(OR(S35=0,S35=""),"",AVERAGE(S35:S37))</f>
        <v/>
      </c>
      <c r="T38" s="25" t="n"/>
      <c r="U38" s="30" t="n"/>
      <c r="V38" s="30" t="n"/>
      <c r="W38" s="30" t="n"/>
      <c r="X38" s="30" t="n"/>
      <c r="Y38" s="30" t="n"/>
      <c r="Z38" s="30" t="n"/>
      <c r="AA38" s="30" t="n"/>
      <c r="AB38" s="30" t="n"/>
      <c r="AC38" s="30" t="n"/>
      <c r="AD38" s="30" t="n"/>
      <c r="AE38" s="30" t="n"/>
      <c r="AF38" s="30" t="n"/>
      <c r="AG38" s="30" t="n"/>
      <c r="AH38" s="30" t="n"/>
      <c r="AI38" s="30" t="n"/>
      <c r="AJ38" s="30" t="n"/>
      <c r="AK38" s="30" t="n"/>
      <c r="AL38" s="30" t="n"/>
      <c r="AM38" s="30" t="n"/>
      <c r="AN38" s="30" t="n"/>
      <c r="AO38" s="30" t="n"/>
      <c r="AP38" s="30" t="n"/>
      <c r="AQ38" s="30" t="n"/>
      <c r="AR38" s="30" t="n"/>
      <c r="AS38" s="30" t="n"/>
      <c r="AT38" s="30" t="n"/>
      <c r="AU38" s="30" t="n"/>
      <c r="AV38" s="30" t="n"/>
      <c r="AW38" s="30" t="n"/>
      <c r="AX38" s="30" t="n"/>
      <c r="AY38" s="30" t="n"/>
      <c r="AZ38" s="30" t="n"/>
      <c r="BA38" s="30" t="n"/>
      <c r="BB38" s="30" t="n"/>
      <c r="BC38" s="30" t="n"/>
      <c r="BD38" s="30" t="n"/>
      <c r="BE38" s="30" t="n"/>
      <c r="BF38" s="30" t="n"/>
      <c r="BG38" s="30" t="n"/>
      <c r="BH38" s="30" t="n"/>
      <c r="BI38" s="30" t="n"/>
      <c r="BJ38" s="30" t="n"/>
      <c r="BK38" s="30" t="n"/>
      <c r="BL38" s="30" t="n"/>
      <c r="BM38" s="30" t="n"/>
      <c r="BN38" s="30" t="n"/>
      <c r="BO38" s="30" t="n"/>
      <c r="BP38" s="30" t="n"/>
      <c r="BQ38" s="30" t="n"/>
      <c r="BR38" s="30" t="n"/>
      <c r="BS38" s="30" t="n"/>
      <c r="BT38" s="30" t="n"/>
      <c r="BU38" s="30" t="n"/>
      <c r="BV38" s="30" t="n"/>
      <c r="BW38" s="30" t="n"/>
      <c r="BX38" s="30" t="n"/>
      <c r="BY38" s="30" t="n"/>
      <c r="BZ38" s="30" t="n"/>
      <c r="CA38" s="30" t="n"/>
      <c r="CB38" s="30" t="n"/>
      <c r="CC38" s="30" t="n"/>
      <c r="CD38" s="30" t="n"/>
      <c r="CE38" s="30" t="n"/>
      <c r="CF38" s="30" t="n"/>
      <c r="CG38" s="30" t="n"/>
      <c r="CH38" s="30" t="n"/>
      <c r="CI38" s="30" t="n"/>
      <c r="CJ38" s="30" t="n"/>
      <c r="CK38" s="30" t="n"/>
      <c r="CL38" s="30" t="n"/>
      <c r="CM38" s="30" t="n"/>
      <c r="CN38" s="30" t="n"/>
      <c r="CO38" s="30" t="n"/>
      <c r="CP38" s="30" t="n"/>
      <c r="CQ38" s="30" t="n"/>
      <c r="CR38" s="30" t="n"/>
      <c r="CS38" s="30" t="n"/>
      <c r="CT38" s="30" t="n"/>
      <c r="CU38" s="30" t="n"/>
      <c r="CV38" s="30" t="n"/>
      <c r="CW38" s="30" t="n"/>
      <c r="CX38" s="30" t="n"/>
      <c r="CY38" s="30" t="n"/>
      <c r="CZ38" s="30" t="n"/>
      <c r="DA38" s="30" t="n"/>
      <c r="DB38" s="30" t="n"/>
      <c r="DC38" s="30" t="n"/>
      <c r="DD38" s="30" t="n"/>
      <c r="DE38" s="30" t="n"/>
      <c r="DF38" s="30" t="n"/>
      <c r="DG38" s="30" t="n"/>
      <c r="DH38" s="30" t="n"/>
      <c r="DI38" s="30" t="n"/>
      <c r="DJ38" s="30" t="n"/>
      <c r="DK38" s="30" t="n"/>
      <c r="DL38" s="30" t="n"/>
      <c r="DM38" s="30" t="n"/>
      <c r="DN38" s="30" t="n"/>
      <c r="DO38" s="30" t="n"/>
      <c r="DP38" s="30" t="n"/>
      <c r="DQ38" s="30" t="n"/>
      <c r="DR38" s="30" t="n"/>
      <c r="DS38" s="30" t="n"/>
      <c r="DT38" s="30" t="n"/>
      <c r="DU38" s="30" t="n"/>
      <c r="DV38" s="30" t="n"/>
      <c r="DW38" s="30" t="n"/>
      <c r="DX38" s="30" t="n"/>
      <c r="DY38" s="30" t="n"/>
      <c r="DZ38" s="30" t="n"/>
      <c r="EA38" s="30" t="n"/>
      <c r="EB38" s="30" t="n"/>
      <c r="EC38" s="30" t="n"/>
      <c r="ED38" s="30" t="n"/>
      <c r="EE38" s="30" t="n"/>
      <c r="EF38" s="30" t="n"/>
      <c r="EG38" s="30" t="n"/>
      <c r="EH38" s="30" t="n"/>
      <c r="EI38" s="30" t="n"/>
      <c r="EJ38" s="30" t="n"/>
      <c r="EK38" s="30" t="n"/>
      <c r="EL38" s="30" t="n"/>
      <c r="EM38" s="30" t="n"/>
      <c r="EN38" s="30" t="n"/>
      <c r="EO38" s="30" t="n"/>
      <c r="EP38" s="30" t="n"/>
      <c r="EQ38" s="30" t="n"/>
      <c r="ER38" s="30" t="n"/>
      <c r="ES38" s="30" t="n"/>
      <c r="ET38" s="30" t="n"/>
      <c r="EU38" s="30" t="n"/>
      <c r="EV38" s="30" t="n"/>
      <c r="EW38" s="30" t="n"/>
      <c r="EX38" s="30" t="n"/>
      <c r="EY38" s="30" t="n"/>
      <c r="EZ38" s="30" t="n"/>
      <c r="FA38" s="30" t="n"/>
      <c r="FB38" s="30" t="n"/>
      <c r="FC38" s="30" t="n"/>
      <c r="FD38" s="30" t="n"/>
      <c r="FE38" s="30" t="n"/>
      <c r="FF38" s="30" t="n"/>
      <c r="FG38" s="30" t="n"/>
      <c r="FH38" s="30" t="n"/>
      <c r="FI38" s="30" t="n"/>
      <c r="FJ38" s="30" t="n"/>
      <c r="FK38" s="30" t="n"/>
      <c r="FL38" s="30" t="n"/>
      <c r="FM38" s="30" t="n"/>
      <c r="FN38" s="30" t="n"/>
      <c r="FO38" s="30" t="n"/>
      <c r="FP38" s="30" t="n"/>
      <c r="FQ38" s="30" t="n"/>
      <c r="FR38" s="30" t="n"/>
      <c r="FS38" s="30" t="n"/>
      <c r="FT38" s="30" t="n"/>
      <c r="FU38" s="30" t="n"/>
      <c r="FV38" s="30" t="n"/>
      <c r="FW38" s="30" t="n"/>
      <c r="FX38" s="30" t="n"/>
      <c r="FY38" s="30" t="n"/>
      <c r="FZ38" s="30" t="n"/>
      <c r="GA38" s="30" t="n"/>
      <c r="GB38" s="30" t="n"/>
      <c r="GC38" s="30" t="n"/>
      <c r="GD38" s="30" t="n"/>
      <c r="GE38" s="30" t="n"/>
      <c r="GF38" s="30" t="n"/>
      <c r="GG38" s="30" t="n"/>
      <c r="GH38" s="30" t="n"/>
      <c r="GI38" s="30" t="n"/>
      <c r="GJ38" s="30" t="n"/>
      <c r="GK38" s="30" t="n"/>
      <c r="GL38" s="30" t="n"/>
      <c r="GM38" s="30" t="n"/>
      <c r="GN38" s="30" t="n"/>
      <c r="GO38" s="30" t="n"/>
      <c r="GP38" s="30" t="n"/>
    </row>
    <row r="39">
      <c r="B39" s="34" t="n"/>
      <c r="C39" s="35" t="n"/>
      <c r="D39" s="32" t="n"/>
      <c r="E39" s="32" t="n"/>
      <c r="F39" s="35" t="n"/>
      <c r="G39" s="32" t="n"/>
      <c r="H39" s="32" t="n"/>
      <c r="I39" s="35" t="n"/>
      <c r="J39" s="32" t="n"/>
      <c r="K39" s="32" t="n"/>
      <c r="L39" s="32" t="n"/>
      <c r="M39" s="32" t="n"/>
      <c r="N39" s="32" t="n"/>
      <c r="O39" s="32" t="n"/>
      <c r="P39" s="32" t="n"/>
      <c r="Q39" s="32" t="n"/>
      <c r="R39" s="32" t="n"/>
      <c r="S39" s="32" t="n"/>
      <c r="T39" s="33" t="n"/>
      <c r="U39" s="30" t="n"/>
      <c r="V39" s="30" t="n"/>
      <c r="W39" s="30" t="n"/>
      <c r="X39" s="30" t="n"/>
      <c r="Y39" s="30" t="n"/>
      <c r="Z39" s="30" t="n"/>
      <c r="AA39" s="30" t="n"/>
      <c r="AB39" s="30" t="n"/>
      <c r="AC39" s="30" t="n"/>
      <c r="AD39" s="30" t="n"/>
      <c r="AE39" s="30" t="n"/>
      <c r="AF39" s="30" t="n"/>
      <c r="AG39" s="30" t="n"/>
      <c r="AH39" s="30" t="n"/>
      <c r="AI39" s="30" t="n"/>
      <c r="AJ39" s="30" t="n"/>
      <c r="AK39" s="30" t="n"/>
      <c r="AL39" s="30" t="n"/>
      <c r="AM39" s="30" t="n"/>
      <c r="AN39" s="30" t="n"/>
      <c r="AO39" s="30" t="n"/>
      <c r="AP39" s="30" t="n"/>
      <c r="AQ39" s="30" t="n"/>
      <c r="AR39" s="30" t="n"/>
      <c r="AS39" s="30" t="n"/>
      <c r="AT39" s="30" t="n"/>
      <c r="AU39" s="30" t="n"/>
      <c r="AV39" s="30" t="n"/>
      <c r="AW39" s="30" t="n"/>
      <c r="AX39" s="30" t="n"/>
      <c r="AY39" s="30" t="n"/>
      <c r="AZ39" s="30" t="n"/>
      <c r="BA39" s="30" t="n"/>
      <c r="BB39" s="30" t="n"/>
      <c r="BC39" s="30" t="n"/>
      <c r="BD39" s="30" t="n"/>
      <c r="BE39" s="30" t="n"/>
      <c r="BF39" s="30" t="n"/>
      <c r="BG39" s="30" t="n"/>
      <c r="BH39" s="30" t="n"/>
      <c r="BI39" s="30" t="n"/>
      <c r="BJ39" s="30" t="n"/>
      <c r="BK39" s="30" t="n"/>
      <c r="BL39" s="30" t="n"/>
      <c r="BM39" s="30" t="n"/>
      <c r="BN39" s="30" t="n"/>
      <c r="BO39" s="30" t="n"/>
      <c r="BP39" s="30" t="n"/>
      <c r="BQ39" s="30" t="n"/>
      <c r="BR39" s="30" t="n"/>
      <c r="BS39" s="30" t="n"/>
      <c r="BT39" s="30" t="n"/>
      <c r="BU39" s="30" t="n"/>
      <c r="BV39" s="30" t="n"/>
      <c r="BW39" s="30" t="n"/>
      <c r="BX39" s="30" t="n"/>
      <c r="BY39" s="30" t="n"/>
      <c r="BZ39" s="30" t="n"/>
      <c r="CA39" s="30" t="n"/>
      <c r="CB39" s="30" t="n"/>
      <c r="CC39" s="30" t="n"/>
      <c r="CD39" s="30" t="n"/>
      <c r="CE39" s="30" t="n"/>
      <c r="CF39" s="30" t="n"/>
      <c r="CG39" s="30" t="n"/>
      <c r="CH39" s="30" t="n"/>
      <c r="CI39" s="30" t="n"/>
      <c r="CJ39" s="30" t="n"/>
      <c r="CK39" s="30" t="n"/>
      <c r="CL39" s="30" t="n"/>
      <c r="CM39" s="30" t="n"/>
      <c r="CN39" s="30" t="n"/>
      <c r="CO39" s="30" t="n"/>
      <c r="CP39" s="30" t="n"/>
      <c r="CQ39" s="30" t="n"/>
      <c r="CR39" s="30" t="n"/>
      <c r="CS39" s="30" t="n"/>
      <c r="CT39" s="30" t="n"/>
      <c r="CU39" s="30" t="n"/>
      <c r="CV39" s="30" t="n"/>
      <c r="CW39" s="30" t="n"/>
      <c r="CX39" s="30" t="n"/>
      <c r="CY39" s="30" t="n"/>
      <c r="CZ39" s="30" t="n"/>
      <c r="DA39" s="30" t="n"/>
      <c r="DB39" s="30" t="n"/>
      <c r="DC39" s="30" t="n"/>
      <c r="DD39" s="30" t="n"/>
      <c r="DE39" s="30" t="n"/>
      <c r="DF39" s="30" t="n"/>
      <c r="DG39" s="30" t="n"/>
      <c r="DH39" s="30" t="n"/>
      <c r="DI39" s="30" t="n"/>
      <c r="DJ39" s="30" t="n"/>
      <c r="DK39" s="30" t="n"/>
      <c r="DL39" s="30" t="n"/>
      <c r="DM39" s="30" t="n"/>
      <c r="DN39" s="30" t="n"/>
      <c r="DO39" s="30" t="n"/>
      <c r="DP39" s="30" t="n"/>
      <c r="DQ39" s="30" t="n"/>
      <c r="DR39" s="30" t="n"/>
      <c r="DS39" s="30" t="n"/>
      <c r="DT39" s="30" t="n"/>
      <c r="DU39" s="30" t="n"/>
      <c r="DV39" s="30" t="n"/>
      <c r="DW39" s="30" t="n"/>
      <c r="DX39" s="30" t="n"/>
      <c r="DY39" s="30" t="n"/>
      <c r="DZ39" s="30" t="n"/>
      <c r="EA39" s="30" t="n"/>
      <c r="EB39" s="30" t="n"/>
      <c r="EC39" s="30" t="n"/>
      <c r="ED39" s="30" t="n"/>
      <c r="EE39" s="30" t="n"/>
      <c r="EF39" s="30" t="n"/>
      <c r="EG39" s="30" t="n"/>
      <c r="EH39" s="30" t="n"/>
      <c r="EI39" s="30" t="n"/>
      <c r="EJ39" s="30" t="n"/>
      <c r="EK39" s="30" t="n"/>
      <c r="EL39" s="30" t="n"/>
      <c r="EM39" s="30" t="n"/>
      <c r="EN39" s="30" t="n"/>
      <c r="EO39" s="30" t="n"/>
      <c r="EP39" s="30" t="n"/>
      <c r="EQ39" s="30" t="n"/>
      <c r="ER39" s="30" t="n"/>
      <c r="ES39" s="30" t="n"/>
      <c r="ET39" s="30" t="n"/>
      <c r="EU39" s="30" t="n"/>
      <c r="EV39" s="30" t="n"/>
      <c r="EW39" s="30" t="n"/>
      <c r="EX39" s="30" t="n"/>
      <c r="EY39" s="30" t="n"/>
      <c r="EZ39" s="30" t="n"/>
      <c r="FA39" s="30" t="n"/>
      <c r="FB39" s="30" t="n"/>
      <c r="FC39" s="30" t="n"/>
      <c r="FD39" s="30" t="n"/>
      <c r="FE39" s="30" t="n"/>
      <c r="FF39" s="30" t="n"/>
      <c r="FG39" s="30" t="n"/>
      <c r="FH39" s="30" t="n"/>
      <c r="FI39" s="30" t="n"/>
      <c r="FJ39" s="30" t="n"/>
      <c r="FK39" s="30" t="n"/>
      <c r="FL39" s="30" t="n"/>
      <c r="FM39" s="30" t="n"/>
      <c r="FN39" s="30" t="n"/>
      <c r="FO39" s="30" t="n"/>
      <c r="FP39" s="30" t="n"/>
      <c r="FQ39" s="30" t="n"/>
      <c r="FR39" s="30" t="n"/>
      <c r="FS39" s="30" t="n"/>
      <c r="FT39" s="30" t="n"/>
      <c r="FU39" s="30" t="n"/>
      <c r="FV39" s="30" t="n"/>
      <c r="FW39" s="30" t="n"/>
      <c r="FX39" s="30" t="n"/>
      <c r="FY39" s="30" t="n"/>
      <c r="FZ39" s="30" t="n"/>
      <c r="GA39" s="30" t="n"/>
      <c r="GB39" s="30" t="n"/>
      <c r="GC39" s="30" t="n"/>
      <c r="GD39" s="30" t="n"/>
      <c r="GE39" s="30" t="n"/>
      <c r="GF39" s="30" t="n"/>
      <c r="GG39" s="30" t="n"/>
      <c r="GH39" s="30" t="n"/>
      <c r="GI39" s="30" t="n"/>
      <c r="GJ39" s="30" t="n"/>
      <c r="GK39" s="30" t="n"/>
      <c r="GL39" s="30" t="n"/>
      <c r="GM39" s="30" t="n"/>
      <c r="GN39" s="30" t="n"/>
      <c r="GO39" s="30" t="n"/>
      <c r="GP39" s="30" t="n"/>
    </row>
    <row r="40" ht="13.8" customHeight="1" thickBot="1">
      <c r="B40" s="36" t="n"/>
      <c r="C40" s="31" t="n"/>
      <c r="D40" s="31" t="n"/>
      <c r="E40" s="31" t="n"/>
      <c r="F40" s="31" t="n"/>
      <c r="G40" s="31" t="n"/>
      <c r="H40" s="31" t="n"/>
      <c r="I40" s="31" t="n"/>
      <c r="J40" s="31" t="n"/>
      <c r="K40" s="31" t="n"/>
      <c r="L40" s="31" t="n"/>
      <c r="M40" s="31" t="n"/>
      <c r="N40" s="31" t="n"/>
      <c r="O40" s="31" t="n"/>
      <c r="P40" s="31" t="n"/>
      <c r="Q40" s="31" t="n"/>
      <c r="R40" s="31" t="n"/>
      <c r="S40" s="31" t="n"/>
      <c r="T40" s="37" t="n"/>
      <c r="U40" s="30" t="n"/>
      <c r="V40" s="30" t="n"/>
      <c r="W40" s="30" t="n"/>
      <c r="X40" s="30" t="n"/>
      <c r="Y40" s="30" t="n"/>
      <c r="Z40" s="30" t="n"/>
      <c r="AA40" s="30" t="n"/>
      <c r="AB40" s="30" t="n"/>
      <c r="AC40" s="30" t="n"/>
      <c r="AD40" s="30" t="n"/>
      <c r="AE40" s="30" t="n"/>
      <c r="AF40" s="30" t="n"/>
      <c r="AG40" s="30" t="n"/>
      <c r="AH40" s="30" t="n"/>
      <c r="AI40" s="30" t="n"/>
      <c r="AJ40" s="30" t="n"/>
      <c r="AK40" s="30" t="n"/>
      <c r="AL40" s="30" t="n"/>
      <c r="AM40" s="30" t="n"/>
      <c r="AN40" s="30" t="n"/>
      <c r="AO40" s="30" t="n"/>
      <c r="AP40" s="30" t="n"/>
      <c r="AQ40" s="30" t="n"/>
      <c r="AR40" s="30" t="n"/>
      <c r="AS40" s="30" t="n"/>
      <c r="AT40" s="30" t="n"/>
      <c r="AU40" s="30" t="n"/>
      <c r="AV40" s="30" t="n"/>
      <c r="AW40" s="30" t="n"/>
      <c r="AX40" s="30" t="n"/>
      <c r="AY40" s="30" t="n"/>
      <c r="AZ40" s="30" t="n"/>
      <c r="BA40" s="30" t="n"/>
      <c r="BB40" s="30" t="n"/>
      <c r="BC40" s="30" t="n"/>
      <c r="BD40" s="30" t="n"/>
      <c r="BE40" s="30" t="n"/>
      <c r="BF40" s="30" t="n"/>
      <c r="BG40" s="30" t="n"/>
      <c r="BH40" s="30" t="n"/>
      <c r="BI40" s="30" t="n"/>
      <c r="BJ40" s="30" t="n"/>
      <c r="BK40" s="30" t="n"/>
      <c r="BL40" s="30" t="n"/>
      <c r="BM40" s="30" t="n"/>
      <c r="BN40" s="30" t="n"/>
      <c r="BO40" s="30" t="n"/>
      <c r="BP40" s="30" t="n"/>
      <c r="BQ40" s="30" t="n"/>
      <c r="BR40" s="30" t="n"/>
      <c r="BS40" s="30" t="n"/>
      <c r="BT40" s="30" t="n"/>
      <c r="BU40" s="30" t="n"/>
      <c r="BV40" s="30" t="n"/>
      <c r="BW40" s="30" t="n"/>
      <c r="BX40" s="30" t="n"/>
      <c r="BY40" s="30" t="n"/>
      <c r="BZ40" s="30" t="n"/>
      <c r="CA40" s="30" t="n"/>
      <c r="CB40" s="30" t="n"/>
      <c r="CC40" s="30" t="n"/>
      <c r="CD40" s="30" t="n"/>
      <c r="CE40" s="30" t="n"/>
      <c r="CF40" s="30" t="n"/>
      <c r="CG40" s="30" t="n"/>
      <c r="CH40" s="30" t="n"/>
      <c r="CI40" s="30" t="n"/>
      <c r="CJ40" s="30" t="n"/>
      <c r="CK40" s="30" t="n"/>
      <c r="CL40" s="30" t="n"/>
      <c r="CM40" s="30" t="n"/>
      <c r="CN40" s="30" t="n"/>
      <c r="CO40" s="30" t="n"/>
      <c r="CP40" s="30" t="n"/>
      <c r="CQ40" s="30" t="n"/>
      <c r="CR40" s="30" t="n"/>
      <c r="CS40" s="30" t="n"/>
      <c r="CT40" s="30" t="n"/>
      <c r="CU40" s="30" t="n"/>
      <c r="CV40" s="30" t="n"/>
      <c r="CW40" s="30" t="n"/>
      <c r="CX40" s="30" t="n"/>
      <c r="CY40" s="30" t="n"/>
      <c r="CZ40" s="30" t="n"/>
      <c r="DA40" s="30" t="n"/>
      <c r="DB40" s="30" t="n"/>
      <c r="DC40" s="30" t="n"/>
      <c r="DD40" s="30" t="n"/>
      <c r="DE40" s="30" t="n"/>
      <c r="DF40" s="30" t="n"/>
      <c r="DG40" s="30" t="n"/>
      <c r="DH40" s="30" t="n"/>
      <c r="DI40" s="30" t="n"/>
      <c r="DJ40" s="30" t="n"/>
      <c r="DK40" s="30" t="n"/>
      <c r="DL40" s="30" t="n"/>
      <c r="DM40" s="30" t="n"/>
      <c r="DN40" s="30" t="n"/>
      <c r="DO40" s="30" t="n"/>
      <c r="DP40" s="30" t="n"/>
      <c r="DQ40" s="30" t="n"/>
      <c r="DR40" s="30" t="n"/>
      <c r="DS40" s="30" t="n"/>
      <c r="DT40" s="30" t="n"/>
      <c r="DU40" s="30" t="n"/>
      <c r="DV40" s="30" t="n"/>
      <c r="DW40" s="30" t="n"/>
      <c r="DX40" s="30" t="n"/>
      <c r="DY40" s="30" t="n"/>
      <c r="DZ40" s="30" t="n"/>
      <c r="EA40" s="30" t="n"/>
      <c r="EB40" s="30" t="n"/>
      <c r="EC40" s="30" t="n"/>
      <c r="ED40" s="30" t="n"/>
      <c r="EE40" s="30" t="n"/>
      <c r="EF40" s="30" t="n"/>
      <c r="EG40" s="30" t="n"/>
      <c r="EH40" s="30" t="n"/>
      <c r="EI40" s="30" t="n"/>
      <c r="EJ40" s="30" t="n"/>
      <c r="EK40" s="30" t="n"/>
      <c r="EL40" s="30" t="n"/>
      <c r="EM40" s="30" t="n"/>
      <c r="EN40" s="30" t="n"/>
      <c r="EO40" s="30" t="n"/>
      <c r="EP40" s="30" t="n"/>
      <c r="EQ40" s="30" t="n"/>
      <c r="ER40" s="30" t="n"/>
      <c r="ES40" s="30" t="n"/>
      <c r="ET40" s="30" t="n"/>
      <c r="EU40" s="30" t="n"/>
      <c r="EV40" s="30" t="n"/>
      <c r="EW40" s="30" t="n"/>
      <c r="EX40" s="30" t="n"/>
      <c r="EY40" s="30" t="n"/>
      <c r="EZ40" s="30" t="n"/>
      <c r="FA40" s="30" t="n"/>
      <c r="FB40" s="30" t="n"/>
      <c r="FC40" s="30" t="n"/>
      <c r="FD40" s="30" t="n"/>
      <c r="FE40" s="30" t="n"/>
      <c r="FF40" s="30" t="n"/>
      <c r="FG40" s="30" t="n"/>
      <c r="FH40" s="30" t="n"/>
      <c r="FI40" s="30" t="n"/>
      <c r="FJ40" s="30" t="n"/>
      <c r="FK40" s="30" t="n"/>
      <c r="FL40" s="30" t="n"/>
      <c r="FM40" s="30" t="n"/>
      <c r="FN40" s="30" t="n"/>
      <c r="FO40" s="30" t="n"/>
      <c r="FP40" s="30" t="n"/>
      <c r="FQ40" s="30" t="n"/>
      <c r="FR40" s="30" t="n"/>
      <c r="FS40" s="30" t="n"/>
      <c r="FT40" s="30" t="n"/>
      <c r="FU40" s="30" t="n"/>
      <c r="FV40" s="30" t="n"/>
      <c r="FW40" s="30" t="n"/>
      <c r="FX40" s="30" t="n"/>
      <c r="FY40" s="30" t="n"/>
      <c r="FZ40" s="30" t="n"/>
      <c r="GA40" s="30" t="n"/>
      <c r="GB40" s="30" t="n"/>
      <c r="GC40" s="30" t="n"/>
      <c r="GD40" s="30" t="n"/>
      <c r="GE40" s="30" t="n"/>
      <c r="GF40" s="30" t="n"/>
      <c r="GG40" s="30" t="n"/>
      <c r="GH40" s="30" t="n"/>
      <c r="GI40" s="30" t="n"/>
      <c r="GJ40" s="30" t="n"/>
      <c r="GK40" s="30" t="n"/>
      <c r="GL40" s="30" t="n"/>
      <c r="GM40" s="30" t="n"/>
      <c r="GN40" s="30" t="n"/>
      <c r="GO40" s="30" t="n"/>
      <c r="GP40" s="30" t="n"/>
    </row>
    <row r="41" ht="13.8" customHeight="1" thickBot="1">
      <c r="B41" s="41" t="inlineStr">
        <is>
          <t>Análisis de Resultados IT V</t>
        </is>
      </c>
      <c r="C41" s="42" t="n"/>
      <c r="D41" s="43" t="n"/>
      <c r="E41" s="43" t="n"/>
      <c r="F41" s="42" t="n"/>
      <c r="G41" s="43" t="n"/>
      <c r="H41" s="43" t="n"/>
      <c r="I41" s="42" t="n"/>
      <c r="J41" s="43" t="n"/>
      <c r="K41" s="44" t="n"/>
      <c r="L41" s="44" t="n"/>
      <c r="M41" s="44" t="n"/>
      <c r="N41" s="44" t="n"/>
      <c r="O41" s="44" t="n"/>
      <c r="P41" s="44" t="n"/>
      <c r="Q41" s="44" t="n"/>
      <c r="R41" s="44" t="n"/>
      <c r="S41" s="44" t="n"/>
      <c r="T41" s="45" t="n"/>
      <c r="U41" s="30" t="n"/>
      <c r="V41" s="30" t="n"/>
      <c r="W41" s="30" t="n"/>
      <c r="X41" s="30" t="n"/>
      <c r="Y41" s="30" t="n"/>
      <c r="Z41" s="30" t="n"/>
      <c r="AA41" s="30" t="n"/>
      <c r="AB41" s="30" t="n"/>
      <c r="AC41" s="30" t="n"/>
      <c r="AD41" s="30" t="n"/>
      <c r="AE41" s="30" t="n"/>
      <c r="AF41" s="30" t="n"/>
      <c r="AG41" s="30" t="n"/>
      <c r="AH41" s="30" t="n"/>
      <c r="AI41" s="30" t="n"/>
      <c r="AJ41" s="30" t="n"/>
      <c r="AK41" s="30" t="n"/>
      <c r="AL41" s="30" t="n"/>
      <c r="AM41" s="30" t="n"/>
      <c r="AN41" s="30" t="n"/>
      <c r="AO41" s="30" t="n"/>
      <c r="AP41" s="30" t="n"/>
      <c r="AQ41" s="30" t="n"/>
      <c r="AR41" s="30" t="n"/>
      <c r="AS41" s="30" t="n"/>
      <c r="AT41" s="30" t="n"/>
      <c r="AU41" s="30" t="n"/>
      <c r="AV41" s="30" t="n"/>
      <c r="AW41" s="30" t="n"/>
      <c r="AX41" s="30" t="n"/>
      <c r="AY41" s="30" t="n"/>
      <c r="AZ41" s="30" t="n"/>
      <c r="BA41" s="30" t="n"/>
      <c r="BB41" s="30" t="n"/>
      <c r="BC41" s="30" t="n"/>
      <c r="BD41" s="30" t="n"/>
      <c r="BE41" s="30" t="n"/>
      <c r="BF41" s="30" t="n"/>
      <c r="BG41" s="30" t="n"/>
      <c r="BH41" s="30" t="n"/>
      <c r="BI41" s="30" t="n"/>
      <c r="BJ41" s="30" t="n"/>
      <c r="BK41" s="30" t="n"/>
      <c r="BL41" s="30" t="n"/>
      <c r="BM41" s="30" t="n"/>
      <c r="BN41" s="30" t="n"/>
      <c r="BO41" s="30" t="n"/>
      <c r="BP41" s="30" t="n"/>
      <c r="BQ41" s="30" t="n"/>
      <c r="BR41" s="30" t="n"/>
      <c r="BS41" s="30" t="n"/>
      <c r="BT41" s="30" t="n"/>
      <c r="BU41" s="30" t="n"/>
      <c r="BV41" s="30" t="n"/>
      <c r="BW41" s="30" t="n"/>
      <c r="BX41" s="30" t="n"/>
      <c r="BY41" s="30" t="n"/>
      <c r="BZ41" s="30" t="n"/>
      <c r="CA41" s="30" t="n"/>
      <c r="CB41" s="30" t="n"/>
      <c r="CC41" s="30" t="n"/>
      <c r="CD41" s="30" t="n"/>
      <c r="CE41" s="30" t="n"/>
      <c r="CF41" s="30" t="n"/>
      <c r="CG41" s="30" t="n"/>
      <c r="CH41" s="30" t="n"/>
      <c r="CI41" s="30" t="n"/>
      <c r="CJ41" s="30" t="n"/>
      <c r="CK41" s="30" t="n"/>
      <c r="CL41" s="30" t="n"/>
      <c r="CM41" s="30" t="n"/>
      <c r="CN41" s="30" t="n"/>
      <c r="CO41" s="30" t="n"/>
      <c r="CP41" s="30" t="n"/>
      <c r="CQ41" s="30" t="n"/>
      <c r="CR41" s="30" t="n"/>
      <c r="CS41" s="30" t="n"/>
      <c r="CT41" s="30" t="n"/>
      <c r="CU41" s="30" t="n"/>
      <c r="CV41" s="30" t="n"/>
      <c r="CW41" s="30" t="n"/>
      <c r="CX41" s="30" t="n"/>
      <c r="CY41" s="30" t="n"/>
      <c r="CZ41" s="30" t="n"/>
      <c r="DA41" s="30" t="n"/>
      <c r="DB41" s="30" t="n"/>
      <c r="DC41" s="30" t="n"/>
      <c r="DD41" s="30" t="n"/>
      <c r="DE41" s="30" t="n"/>
      <c r="DF41" s="30" t="n"/>
      <c r="DG41" s="30" t="n"/>
      <c r="DH41" s="30" t="n"/>
      <c r="DI41" s="30" t="n"/>
      <c r="DJ41" s="30" t="n"/>
      <c r="DK41" s="30" t="n"/>
      <c r="DL41" s="30" t="n"/>
      <c r="DM41" s="30" t="n"/>
      <c r="DN41" s="30" t="n"/>
      <c r="DO41" s="30" t="n"/>
      <c r="DP41" s="30" t="n"/>
      <c r="DQ41" s="30" t="n"/>
      <c r="DR41" s="30" t="n"/>
      <c r="DS41" s="30" t="n"/>
      <c r="DT41" s="30" t="n"/>
      <c r="DU41" s="30" t="n"/>
      <c r="DV41" s="30" t="n"/>
      <c r="DW41" s="30" t="n"/>
      <c r="DX41" s="30" t="n"/>
      <c r="DY41" s="30" t="n"/>
      <c r="DZ41" s="30" t="n"/>
      <c r="EA41" s="30" t="n"/>
      <c r="EB41" s="30" t="n"/>
      <c r="EC41" s="30" t="n"/>
      <c r="ED41" s="30" t="n"/>
      <c r="EE41" s="30" t="n"/>
      <c r="EF41" s="30" t="n"/>
      <c r="EG41" s="30" t="n"/>
      <c r="EH41" s="30" t="n"/>
      <c r="EI41" s="30" t="n"/>
      <c r="EJ41" s="30" t="n"/>
      <c r="EK41" s="30" t="n"/>
      <c r="EL41" s="30" t="n"/>
      <c r="EM41" s="30" t="n"/>
      <c r="EN41" s="30" t="n"/>
      <c r="EO41" s="30" t="n"/>
      <c r="EP41" s="30" t="n"/>
      <c r="EQ41" s="30" t="n"/>
      <c r="ER41" s="30" t="n"/>
      <c r="ES41" s="30" t="n"/>
      <c r="ET41" s="30" t="n"/>
      <c r="EU41" s="30" t="n"/>
      <c r="EV41" s="30" t="n"/>
      <c r="EW41" s="30" t="n"/>
      <c r="EX41" s="30" t="n"/>
      <c r="EY41" s="30" t="n"/>
      <c r="EZ41" s="30" t="n"/>
      <c r="FA41" s="30" t="n"/>
      <c r="FB41" s="30" t="n"/>
      <c r="FC41" s="30" t="n"/>
      <c r="FD41" s="30" t="n"/>
      <c r="FE41" s="30" t="n"/>
      <c r="FF41" s="30" t="n"/>
      <c r="FG41" s="30" t="n"/>
      <c r="FH41" s="30" t="n"/>
      <c r="FI41" s="30" t="n"/>
      <c r="FJ41" s="30" t="n"/>
      <c r="FK41" s="30" t="n"/>
      <c r="FL41" s="30" t="n"/>
      <c r="FM41" s="30" t="n"/>
      <c r="FN41" s="30" t="n"/>
      <c r="FO41" s="30" t="n"/>
      <c r="FP41" s="30" t="n"/>
      <c r="FQ41" s="30" t="n"/>
      <c r="FR41" s="30" t="n"/>
      <c r="FS41" s="30" t="n"/>
      <c r="FT41" s="30" t="n"/>
      <c r="FU41" s="30" t="n"/>
      <c r="FV41" s="30" t="n"/>
      <c r="FW41" s="30" t="n"/>
      <c r="FX41" s="30" t="n"/>
      <c r="FY41" s="30" t="n"/>
      <c r="FZ41" s="30" t="n"/>
      <c r="GA41" s="30" t="n"/>
      <c r="GB41" s="30" t="n"/>
      <c r="GC41" s="30" t="n"/>
      <c r="GD41" s="30" t="n"/>
      <c r="GE41" s="30" t="n"/>
      <c r="GF41" s="30" t="n"/>
      <c r="GG41" s="30" t="n"/>
      <c r="GH41" s="30" t="n"/>
      <c r="GI41" s="30" t="n"/>
      <c r="GJ41" s="30" t="n"/>
      <c r="GK41" s="30" t="n"/>
      <c r="GL41" s="30" t="n"/>
      <c r="GM41" s="30" t="n"/>
      <c r="GN41" s="30" t="n"/>
      <c r="GO41" s="30" t="n"/>
      <c r="GP41" s="30" t="n"/>
    </row>
    <row r="42" ht="13.5" customHeight="1" thickBot="1">
      <c r="B42" s="9" t="inlineStr">
        <is>
          <t>Funcionalidad o Requerimiento</t>
        </is>
      </c>
      <c r="C42" s="9" t="inlineStr">
        <is>
          <t>Nro. Reqs Prueba</t>
        </is>
      </c>
      <c r="D42" s="9" t="inlineStr">
        <is>
          <t>No Conformidades</t>
        </is>
      </c>
      <c r="E42" s="175" t="n"/>
      <c r="F42" s="176" t="n"/>
      <c r="G42" s="9" t="inlineStr">
        <is>
          <t>NC Anulados</t>
        </is>
      </c>
      <c r="H42" s="181" t="inlineStr">
        <is>
          <t>Resultados</t>
        </is>
      </c>
      <c r="I42" s="175" t="n"/>
      <c r="J42" s="175" t="n"/>
      <c r="K42" s="175" t="n"/>
      <c r="L42" s="175" t="n"/>
      <c r="M42" s="175" t="n"/>
      <c r="N42" s="175" t="n"/>
      <c r="O42" s="176" t="n"/>
      <c r="P42" s="9" t="inlineStr">
        <is>
          <t>Correctitud</t>
        </is>
      </c>
      <c r="Q42" s="9" t="inlineStr">
        <is>
          <t>Densidad NC</t>
        </is>
      </c>
      <c r="R42" s="9" t="inlineStr">
        <is>
          <t>Confiab.</t>
        </is>
      </c>
      <c r="S42" s="9" t="inlineStr">
        <is>
          <t>Cobertura</t>
        </is>
      </c>
      <c r="T42" s="9" t="inlineStr">
        <is>
          <t>Observaciones</t>
        </is>
      </c>
      <c r="U42" s="30" t="n"/>
      <c r="V42" s="30" t="n"/>
      <c r="W42" s="30" t="n"/>
      <c r="X42" s="30" t="n"/>
      <c r="Y42" s="30" t="n"/>
      <c r="Z42" s="30" t="n"/>
      <c r="AA42" s="30" t="n"/>
      <c r="AB42" s="30" t="n"/>
      <c r="AC42" s="30" t="n"/>
      <c r="AD42" s="30" t="n"/>
      <c r="AE42" s="30" t="n"/>
      <c r="AF42" s="30" t="n"/>
      <c r="AG42" s="30" t="n"/>
      <c r="AH42" s="30" t="n"/>
      <c r="AI42" s="30" t="n"/>
      <c r="AJ42" s="30" t="n"/>
      <c r="AK42" s="30" t="n"/>
      <c r="AL42" s="30" t="n"/>
      <c r="AM42" s="30" t="n"/>
      <c r="AN42" s="30" t="n"/>
      <c r="AO42" s="30" t="n"/>
      <c r="AP42" s="30" t="n"/>
      <c r="AQ42" s="30" t="n"/>
      <c r="AR42" s="30" t="n"/>
      <c r="AS42" s="30" t="n"/>
      <c r="AT42" s="30" t="n"/>
      <c r="AU42" s="30" t="n"/>
      <c r="AV42" s="30" t="n"/>
      <c r="AW42" s="30" t="n"/>
      <c r="AX42" s="30" t="n"/>
      <c r="AY42" s="30" t="n"/>
      <c r="AZ42" s="30" t="n"/>
      <c r="BA42" s="30" t="n"/>
      <c r="BB42" s="30" t="n"/>
      <c r="BC42" s="30" t="n"/>
      <c r="BD42" s="30" t="n"/>
      <c r="BE42" s="30" t="n"/>
      <c r="BF42" s="30" t="n"/>
      <c r="BG42" s="30" t="n"/>
      <c r="BH42" s="30" t="n"/>
      <c r="BI42" s="30" t="n"/>
      <c r="BJ42" s="30" t="n"/>
      <c r="BK42" s="30" t="n"/>
      <c r="BL42" s="30" t="n"/>
      <c r="BM42" s="30" t="n"/>
      <c r="BN42" s="30" t="n"/>
      <c r="BO42" s="30" t="n"/>
      <c r="BP42" s="30" t="n"/>
      <c r="BQ42" s="30" t="n"/>
      <c r="BR42" s="30" t="n"/>
      <c r="BS42" s="30" t="n"/>
      <c r="BT42" s="30" t="n"/>
      <c r="BU42" s="30" t="n"/>
      <c r="BV42" s="30" t="n"/>
      <c r="BW42" s="30" t="n"/>
      <c r="BX42" s="30" t="n"/>
      <c r="BY42" s="30" t="n"/>
      <c r="BZ42" s="30" t="n"/>
      <c r="CA42" s="30" t="n"/>
      <c r="CB42" s="30" t="n"/>
      <c r="CC42" s="30" t="n"/>
      <c r="CD42" s="30" t="n"/>
      <c r="CE42" s="30" t="n"/>
      <c r="CF42" s="30" t="n"/>
      <c r="CG42" s="30" t="n"/>
      <c r="CH42" s="30" t="n"/>
      <c r="CI42" s="30" t="n"/>
      <c r="CJ42" s="30" t="n"/>
      <c r="CK42" s="30" t="n"/>
      <c r="CL42" s="30" t="n"/>
      <c r="CM42" s="30" t="n"/>
      <c r="CN42" s="30" t="n"/>
      <c r="CO42" s="30" t="n"/>
      <c r="CP42" s="30" t="n"/>
      <c r="CQ42" s="30" t="n"/>
      <c r="CR42" s="30" t="n"/>
      <c r="CS42" s="30" t="n"/>
      <c r="CT42" s="30" t="n"/>
      <c r="CU42" s="30" t="n"/>
      <c r="CV42" s="30" t="n"/>
      <c r="CW42" s="30" t="n"/>
      <c r="CX42" s="30" t="n"/>
      <c r="CY42" s="30" t="n"/>
      <c r="CZ42" s="30" t="n"/>
      <c r="DA42" s="30" t="n"/>
      <c r="DB42" s="30" t="n"/>
      <c r="DC42" s="30" t="n"/>
      <c r="DD42" s="30" t="n"/>
      <c r="DE42" s="30" t="n"/>
      <c r="DF42" s="30" t="n"/>
      <c r="DG42" s="30" t="n"/>
      <c r="DH42" s="30" t="n"/>
      <c r="DI42" s="30" t="n"/>
      <c r="DJ42" s="30" t="n"/>
      <c r="DK42" s="30" t="n"/>
      <c r="DL42" s="30" t="n"/>
      <c r="DM42" s="30" t="n"/>
      <c r="DN42" s="30" t="n"/>
      <c r="DO42" s="30" t="n"/>
      <c r="DP42" s="30" t="n"/>
      <c r="DQ42" s="30" t="n"/>
      <c r="DR42" s="30" t="n"/>
      <c r="DS42" s="30" t="n"/>
      <c r="DT42" s="30" t="n"/>
      <c r="DU42" s="30" t="n"/>
      <c r="DV42" s="30" t="n"/>
      <c r="DW42" s="30" t="n"/>
      <c r="DX42" s="30" t="n"/>
      <c r="DY42" s="30" t="n"/>
      <c r="DZ42" s="30" t="n"/>
      <c r="EA42" s="30" t="n"/>
      <c r="EB42" s="30" t="n"/>
      <c r="EC42" s="30" t="n"/>
      <c r="ED42" s="30" t="n"/>
      <c r="EE42" s="30" t="n"/>
      <c r="EF42" s="30" t="n"/>
      <c r="EG42" s="30" t="n"/>
      <c r="EH42" s="30" t="n"/>
      <c r="EI42" s="30" t="n"/>
      <c r="EJ42" s="30" t="n"/>
      <c r="EK42" s="30" t="n"/>
      <c r="EL42" s="30" t="n"/>
      <c r="EM42" s="30" t="n"/>
      <c r="EN42" s="30" t="n"/>
      <c r="EO42" s="30" t="n"/>
      <c r="EP42" s="30" t="n"/>
      <c r="EQ42" s="30" t="n"/>
      <c r="ER42" s="30" t="n"/>
      <c r="ES42" s="30" t="n"/>
      <c r="ET42" s="30" t="n"/>
      <c r="EU42" s="30" t="n"/>
      <c r="EV42" s="30" t="n"/>
      <c r="EW42" s="30" t="n"/>
      <c r="EX42" s="30" t="n"/>
      <c r="EY42" s="30" t="n"/>
      <c r="EZ42" s="30" t="n"/>
      <c r="FA42" s="30" t="n"/>
      <c r="FB42" s="30" t="n"/>
      <c r="FC42" s="30" t="n"/>
      <c r="FD42" s="30" t="n"/>
      <c r="FE42" s="30" t="n"/>
      <c r="FF42" s="30" t="n"/>
      <c r="FG42" s="30" t="n"/>
      <c r="FH42" s="30" t="n"/>
      <c r="FI42" s="30" t="n"/>
      <c r="FJ42" s="30" t="n"/>
      <c r="FK42" s="30" t="n"/>
      <c r="FL42" s="30" t="n"/>
      <c r="FM42" s="30" t="n"/>
      <c r="FN42" s="30" t="n"/>
      <c r="FO42" s="30" t="n"/>
      <c r="FP42" s="30" t="n"/>
      <c r="FQ42" s="30" t="n"/>
      <c r="FR42" s="30" t="n"/>
      <c r="FS42" s="30" t="n"/>
      <c r="FT42" s="30" t="n"/>
      <c r="FU42" s="30" t="n"/>
      <c r="FV42" s="30" t="n"/>
      <c r="FW42" s="30" t="n"/>
      <c r="FX42" s="30" t="n"/>
      <c r="FY42" s="30" t="n"/>
      <c r="FZ42" s="30" t="n"/>
      <c r="GA42" s="30" t="n"/>
      <c r="GB42" s="30" t="n"/>
      <c r="GC42" s="30" t="n"/>
      <c r="GD42" s="30" t="n"/>
      <c r="GE42" s="30" t="n"/>
      <c r="GF42" s="30" t="n"/>
      <c r="GG42" s="30" t="n"/>
      <c r="GH42" s="30" t="n"/>
      <c r="GI42" s="30" t="n"/>
      <c r="GJ42" s="30" t="n"/>
      <c r="GK42" s="30" t="n"/>
      <c r="GL42" s="30" t="n"/>
      <c r="GM42" s="30" t="n"/>
      <c r="GN42" s="30" t="n"/>
      <c r="GO42" s="30" t="n"/>
      <c r="GP42" s="30" t="n"/>
    </row>
    <row r="43" ht="13.8" customHeight="1" thickBot="1">
      <c r="B43" s="178" t="n"/>
      <c r="C43" s="178" t="n"/>
      <c r="D43" s="9" t="inlineStr">
        <is>
          <t>Bloqueante</t>
        </is>
      </c>
      <c r="E43" s="9" t="inlineStr">
        <is>
          <t>Funcional</t>
        </is>
      </c>
      <c r="F43" s="9" t="inlineStr">
        <is>
          <t>Presentación</t>
        </is>
      </c>
      <c r="G43" s="178" t="n"/>
      <c r="H43" s="181" t="inlineStr">
        <is>
          <t>Ejecutados</t>
        </is>
      </c>
      <c r="I43" s="176" t="n"/>
      <c r="J43" s="179" t="inlineStr">
        <is>
          <t>OK</t>
        </is>
      </c>
      <c r="K43" s="180" t="n"/>
      <c r="L43" s="182" t="inlineStr">
        <is>
          <t>NOK</t>
        </is>
      </c>
      <c r="M43" s="180" t="n"/>
      <c r="N43" s="181" t="inlineStr">
        <is>
          <t>PDTE</t>
        </is>
      </c>
      <c r="O43" s="176" t="n"/>
      <c r="P43" s="178" t="n"/>
      <c r="Q43" s="178" t="n"/>
      <c r="R43" s="178" t="n"/>
      <c r="S43" s="178" t="n"/>
      <c r="T43" s="178" t="n"/>
      <c r="U43" s="30" t="n"/>
      <c r="V43" s="30" t="n"/>
      <c r="W43" s="30" t="n"/>
      <c r="X43" s="30" t="n"/>
      <c r="Y43" s="30" t="n"/>
      <c r="Z43" s="30" t="n"/>
      <c r="AA43" s="30" t="n"/>
      <c r="AB43" s="30" t="n"/>
      <c r="AC43" s="30" t="n"/>
      <c r="AD43" s="30" t="n"/>
      <c r="AE43" s="30" t="n"/>
      <c r="AF43" s="30" t="n"/>
      <c r="AG43" s="30" t="n"/>
      <c r="AH43" s="30" t="n"/>
      <c r="AI43" s="30" t="n"/>
      <c r="AJ43" s="30" t="n"/>
      <c r="AK43" s="30" t="n"/>
      <c r="AL43" s="30" t="n"/>
      <c r="AM43" s="30" t="n"/>
      <c r="AN43" s="30" t="n"/>
      <c r="AO43" s="30" t="n"/>
      <c r="AP43" s="30" t="n"/>
      <c r="AQ43" s="30" t="n"/>
      <c r="AR43" s="30" t="n"/>
      <c r="AS43" s="30" t="n"/>
      <c r="AT43" s="30" t="n"/>
      <c r="AU43" s="30" t="n"/>
      <c r="AV43" s="30" t="n"/>
      <c r="AW43" s="30" t="n"/>
      <c r="AX43" s="30" t="n"/>
      <c r="AY43" s="30" t="n"/>
      <c r="AZ43" s="30" t="n"/>
      <c r="BA43" s="30" t="n"/>
      <c r="BB43" s="30" t="n"/>
      <c r="BC43" s="30" t="n"/>
      <c r="BD43" s="30" t="n"/>
      <c r="BE43" s="30" t="n"/>
      <c r="BF43" s="30" t="n"/>
      <c r="BG43" s="30" t="n"/>
      <c r="BH43" s="30" t="n"/>
      <c r="BI43" s="30" t="n"/>
      <c r="BJ43" s="30" t="n"/>
      <c r="BK43" s="30" t="n"/>
      <c r="BL43" s="30" t="n"/>
      <c r="BM43" s="30" t="n"/>
      <c r="BN43" s="30" t="n"/>
      <c r="BO43" s="30" t="n"/>
      <c r="BP43" s="30" t="n"/>
      <c r="BQ43" s="30" t="n"/>
      <c r="BR43" s="30" t="n"/>
      <c r="BS43" s="30" t="n"/>
      <c r="BT43" s="30" t="n"/>
      <c r="BU43" s="30" t="n"/>
      <c r="BV43" s="30" t="n"/>
      <c r="BW43" s="30" t="n"/>
      <c r="BX43" s="30" t="n"/>
      <c r="BY43" s="30" t="n"/>
      <c r="BZ43" s="30" t="n"/>
      <c r="CA43" s="30" t="n"/>
      <c r="CB43" s="30" t="n"/>
      <c r="CC43" s="30" t="n"/>
      <c r="CD43" s="30" t="n"/>
      <c r="CE43" s="30" t="n"/>
      <c r="CF43" s="30" t="n"/>
      <c r="CG43" s="30" t="n"/>
      <c r="CH43" s="30" t="n"/>
      <c r="CI43" s="30" t="n"/>
      <c r="CJ43" s="30" t="n"/>
      <c r="CK43" s="30" t="n"/>
      <c r="CL43" s="30" t="n"/>
      <c r="CM43" s="30" t="n"/>
      <c r="CN43" s="30" t="n"/>
      <c r="CO43" s="30" t="n"/>
      <c r="CP43" s="30" t="n"/>
      <c r="CQ43" s="30" t="n"/>
      <c r="CR43" s="30" t="n"/>
      <c r="CS43" s="30" t="n"/>
      <c r="CT43" s="30" t="n"/>
      <c r="CU43" s="30" t="n"/>
      <c r="CV43" s="30" t="n"/>
      <c r="CW43" s="30" t="n"/>
      <c r="CX43" s="30" t="n"/>
      <c r="CY43" s="30" t="n"/>
      <c r="CZ43" s="30" t="n"/>
      <c r="DA43" s="30" t="n"/>
      <c r="DB43" s="30" t="n"/>
      <c r="DC43" s="30" t="n"/>
      <c r="DD43" s="30" t="n"/>
      <c r="DE43" s="30" t="n"/>
      <c r="DF43" s="30" t="n"/>
      <c r="DG43" s="30" t="n"/>
      <c r="DH43" s="30" t="n"/>
      <c r="DI43" s="30" t="n"/>
      <c r="DJ43" s="30" t="n"/>
      <c r="DK43" s="30" t="n"/>
      <c r="DL43" s="30" t="n"/>
      <c r="DM43" s="30" t="n"/>
      <c r="DN43" s="30" t="n"/>
      <c r="DO43" s="30" t="n"/>
      <c r="DP43" s="30" t="n"/>
      <c r="DQ43" s="30" t="n"/>
      <c r="DR43" s="30" t="n"/>
      <c r="DS43" s="30" t="n"/>
      <c r="DT43" s="30" t="n"/>
      <c r="DU43" s="30" t="n"/>
      <c r="DV43" s="30" t="n"/>
      <c r="DW43" s="30" t="n"/>
      <c r="DX43" s="30" t="n"/>
      <c r="DY43" s="30" t="n"/>
      <c r="DZ43" s="30" t="n"/>
      <c r="EA43" s="30" t="n"/>
      <c r="EB43" s="30" t="n"/>
      <c r="EC43" s="30" t="n"/>
      <c r="ED43" s="30" t="n"/>
      <c r="EE43" s="30" t="n"/>
      <c r="EF43" s="30" t="n"/>
      <c r="EG43" s="30" t="n"/>
      <c r="EH43" s="30" t="n"/>
      <c r="EI43" s="30" t="n"/>
      <c r="EJ43" s="30" t="n"/>
      <c r="EK43" s="30" t="n"/>
      <c r="EL43" s="30" t="n"/>
      <c r="EM43" s="30" t="n"/>
      <c r="EN43" s="30" t="n"/>
      <c r="EO43" s="30" t="n"/>
      <c r="EP43" s="30" t="n"/>
      <c r="EQ43" s="30" t="n"/>
      <c r="ER43" s="30" t="n"/>
      <c r="ES43" s="30" t="n"/>
      <c r="ET43" s="30" t="n"/>
      <c r="EU43" s="30" t="n"/>
      <c r="EV43" s="30" t="n"/>
      <c r="EW43" s="30" t="n"/>
      <c r="EX43" s="30" t="n"/>
      <c r="EY43" s="30" t="n"/>
      <c r="EZ43" s="30" t="n"/>
      <c r="FA43" s="30" t="n"/>
      <c r="FB43" s="30" t="n"/>
      <c r="FC43" s="30" t="n"/>
      <c r="FD43" s="30" t="n"/>
      <c r="FE43" s="30" t="n"/>
      <c r="FF43" s="30" t="n"/>
      <c r="FG43" s="30" t="n"/>
      <c r="FH43" s="30" t="n"/>
      <c r="FI43" s="30" t="n"/>
      <c r="FJ43" s="30" t="n"/>
      <c r="FK43" s="30" t="n"/>
      <c r="FL43" s="30" t="n"/>
      <c r="FM43" s="30" t="n"/>
      <c r="FN43" s="30" t="n"/>
      <c r="FO43" s="30" t="n"/>
      <c r="FP43" s="30" t="n"/>
      <c r="FQ43" s="30" t="n"/>
      <c r="FR43" s="30" t="n"/>
      <c r="FS43" s="30" t="n"/>
      <c r="FT43" s="30" t="n"/>
      <c r="FU43" s="30" t="n"/>
      <c r="FV43" s="30" t="n"/>
      <c r="FW43" s="30" t="n"/>
      <c r="FX43" s="30" t="n"/>
      <c r="FY43" s="30" t="n"/>
      <c r="FZ43" s="30" t="n"/>
      <c r="GA43" s="30" t="n"/>
      <c r="GB43" s="30" t="n"/>
      <c r="GC43" s="30" t="n"/>
      <c r="GD43" s="30" t="n"/>
      <c r="GE43" s="30" t="n"/>
      <c r="GF43" s="30" t="n"/>
      <c r="GG43" s="30" t="n"/>
      <c r="GH43" s="30" t="n"/>
      <c r="GI43" s="30" t="n"/>
      <c r="GJ43" s="30" t="n"/>
      <c r="GK43" s="30" t="n"/>
      <c r="GL43" s="30" t="n"/>
      <c r="GM43" s="30" t="n"/>
      <c r="GN43" s="30" t="n"/>
      <c r="GO43" s="30" t="n"/>
      <c r="GP43" s="30" t="n"/>
    </row>
    <row r="44" customFormat="1" s="7">
      <c r="B44" s="22">
        <f>IF(#REF!=0,"",#REF!)</f>
        <v/>
      </c>
      <c r="C44" s="17">
        <f>IF(COUNTIF(#REF!,"OK")+COUNTIF(#REF!,"NOK")+COUNTIF(#REF!,"PDTE")+COUNTIF(#REF!,"N/A")=0,"",COUNTIF(#REF!,"OK")+COUNTIF(#REF!,"NOK")+COUNTIF(#REF!,"PDTE")+COUNTIF(#REF!,"N/A"))</f>
        <v/>
      </c>
      <c r="D44" s="10" t="n"/>
      <c r="E44" s="10" t="n"/>
      <c r="F44" s="10" t="n"/>
      <c r="G44" s="17">
        <f>IF(COUNTIF(#REF!,"N/A")=0,"",COUNTIF(#REF!,"N/A"))</f>
        <v/>
      </c>
      <c r="H44" s="17">
        <f>IF(COUNTIF(#REF!,"OK")+COUNTIF(#REF!,"NOK")=0,"",COUNTIF(#REF!,"OK")+COUNTIF(#REF!,"NOK"))</f>
        <v/>
      </c>
      <c r="I44" s="6">
        <f>IF(OR(C44=" ",OR(H44="",H44=0)),"",H44/C44)</f>
        <v/>
      </c>
      <c r="J44" s="23">
        <f>IF(COUNTIF(#REF!,"OK")=0,"",COUNTIF(#REF!,"OK"))</f>
        <v/>
      </c>
      <c r="K44" s="6">
        <f>IF(OR(C44=" ",OR(J44="",J44=0)),"",J44/C44)</f>
        <v/>
      </c>
      <c r="L44" s="23">
        <f>IF(COUNTIF(#REF!,"NOK")=0,"",COUNTIF(#REF!,"NOK"))</f>
        <v/>
      </c>
      <c r="M44" s="6">
        <f>IF(OR(C44=" ",OR(L44="",L44=0)),"",L44/C44)</f>
        <v/>
      </c>
      <c r="N44" s="23">
        <f>IF(COUNTIF(#REF!,"PDTE")=0,"",COUNTIF(#REF!,"PDTE"))</f>
        <v/>
      </c>
      <c r="O44" s="6">
        <f>IF(OR(C44=" ",OR(N44="",N44=0)),"",N44/C44)</f>
        <v/>
      </c>
      <c r="P44" s="6">
        <f>IF(OR(H44=0,H44=""),"",SUM(J44)/H44)</f>
        <v/>
      </c>
      <c r="Q44" s="6">
        <f>IF(OR(H44=0,H44=""),"",SUM(D44:F44)/H44)</f>
        <v/>
      </c>
      <c r="R44" s="6">
        <f>IF(Q44="","",1-Q44)</f>
        <v/>
      </c>
      <c r="S44" s="6">
        <f>IF(OR(I44="",I44=0),"",I44)</f>
        <v/>
      </c>
      <c r="T44" s="24"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39" t="n"/>
      <c r="BK44" s="39" t="n"/>
      <c r="BL44" s="39" t="n"/>
      <c r="BM44" s="39" t="n"/>
      <c r="BN44" s="39" t="n"/>
      <c r="BO44" s="39" t="n"/>
      <c r="BP44" s="39" t="n"/>
      <c r="BQ44" s="39" t="n"/>
      <c r="BR44" s="39" t="n"/>
      <c r="BS44" s="39" t="n"/>
      <c r="BT44" s="39" t="n"/>
      <c r="BU44" s="39" t="n"/>
      <c r="BV44" s="39" t="n"/>
      <c r="BW44" s="39" t="n"/>
      <c r="BX44" s="39" t="n"/>
      <c r="BY44" s="39" t="n"/>
      <c r="BZ44" s="39" t="n"/>
      <c r="CA44" s="39" t="n"/>
      <c r="CB44" s="39" t="n"/>
      <c r="CC44" s="39" t="n"/>
      <c r="CD44" s="39" t="n"/>
      <c r="CE44" s="39" t="n"/>
      <c r="CF44" s="39" t="n"/>
      <c r="CG44" s="39" t="n"/>
      <c r="CH44" s="39" t="n"/>
      <c r="CI44" s="39" t="n"/>
      <c r="CJ44" s="39" t="n"/>
      <c r="CK44" s="39" t="n"/>
      <c r="CL44" s="39" t="n"/>
      <c r="CM44" s="39" t="n"/>
      <c r="CN44" s="39" t="n"/>
      <c r="CO44" s="39" t="n"/>
      <c r="CP44" s="39" t="n"/>
      <c r="CQ44" s="39" t="n"/>
      <c r="CR44" s="39" t="n"/>
      <c r="CS44" s="39" t="n"/>
      <c r="CT44" s="39" t="n"/>
      <c r="CU44" s="39" t="n"/>
      <c r="CV44" s="39" t="n"/>
      <c r="CW44" s="39" t="n"/>
      <c r="CX44" s="39" t="n"/>
      <c r="CY44" s="39" t="n"/>
      <c r="CZ44" s="39" t="n"/>
      <c r="DA44" s="39" t="n"/>
      <c r="DB44" s="39" t="n"/>
      <c r="DC44" s="39" t="n"/>
      <c r="DD44" s="39" t="n"/>
      <c r="DE44" s="39" t="n"/>
      <c r="DF44" s="39" t="n"/>
      <c r="DG44" s="39" t="n"/>
      <c r="DH44" s="39" t="n"/>
      <c r="DI44" s="39" t="n"/>
      <c r="DJ44" s="39" t="n"/>
      <c r="DK44" s="39" t="n"/>
      <c r="DL44" s="39" t="n"/>
      <c r="DM44" s="39" t="n"/>
      <c r="DN44" s="39" t="n"/>
      <c r="DO44" s="39" t="n"/>
      <c r="DP44" s="39" t="n"/>
      <c r="DQ44" s="39" t="n"/>
      <c r="DR44" s="39" t="n"/>
      <c r="DS44" s="39" t="n"/>
      <c r="DT44" s="39" t="n"/>
      <c r="DU44" s="39" t="n"/>
      <c r="DV44" s="39" t="n"/>
      <c r="DW44" s="39" t="n"/>
      <c r="DX44" s="39" t="n"/>
      <c r="DY44" s="39" t="n"/>
      <c r="DZ44" s="39" t="n"/>
      <c r="EA44" s="39" t="n"/>
      <c r="EB44" s="39" t="n"/>
      <c r="EC44" s="39" t="n"/>
      <c r="ED44" s="39" t="n"/>
      <c r="EE44" s="39" t="n"/>
      <c r="EF44" s="39" t="n"/>
      <c r="EG44" s="39" t="n"/>
      <c r="EH44" s="39" t="n"/>
      <c r="EI44" s="39" t="n"/>
      <c r="EJ44" s="39" t="n"/>
      <c r="EK44" s="39" t="n"/>
      <c r="EL44" s="39" t="n"/>
      <c r="EM44" s="39" t="n"/>
      <c r="EN44" s="39" t="n"/>
      <c r="EO44" s="39" t="n"/>
      <c r="EP44" s="39" t="n"/>
      <c r="EQ44" s="39" t="n"/>
      <c r="ER44" s="39" t="n"/>
      <c r="ES44" s="39" t="n"/>
      <c r="ET44" s="39" t="n"/>
      <c r="EU44" s="39" t="n"/>
      <c r="EV44" s="39" t="n"/>
      <c r="EW44" s="39" t="n"/>
      <c r="EX44" s="39" t="n"/>
      <c r="EY44" s="39" t="n"/>
      <c r="EZ44" s="39" t="n"/>
      <c r="FA44" s="39" t="n"/>
      <c r="FB44" s="39" t="n"/>
      <c r="FC44" s="39" t="n"/>
      <c r="FD44" s="39" t="n"/>
      <c r="FE44" s="39" t="n"/>
      <c r="FF44" s="39" t="n"/>
      <c r="FG44" s="39" t="n"/>
      <c r="FH44" s="39" t="n"/>
      <c r="FI44" s="39" t="n"/>
      <c r="FJ44" s="39" t="n"/>
      <c r="FK44" s="39" t="n"/>
      <c r="FL44" s="39" t="n"/>
      <c r="FM44" s="39" t="n"/>
      <c r="FN44" s="39" t="n"/>
      <c r="FO44" s="39" t="n"/>
      <c r="FP44" s="39" t="n"/>
      <c r="FQ44" s="39" t="n"/>
      <c r="FR44" s="39" t="n"/>
      <c r="FS44" s="39" t="n"/>
      <c r="FT44" s="39" t="n"/>
      <c r="FU44" s="39" t="n"/>
      <c r="FV44" s="39" t="n"/>
      <c r="FW44" s="39" t="n"/>
      <c r="FX44" s="39" t="n"/>
      <c r="FY44" s="39" t="n"/>
      <c r="FZ44" s="39" t="n"/>
      <c r="GA44" s="39" t="n"/>
      <c r="GB44" s="39" t="n"/>
      <c r="GC44" s="39" t="n"/>
      <c r="GD44" s="39" t="n"/>
      <c r="GE44" s="39" t="n"/>
      <c r="GF44" s="39" t="n"/>
      <c r="GG44" s="39" t="n"/>
      <c r="GH44" s="39" t="n"/>
      <c r="GI44" s="39" t="n"/>
      <c r="GJ44" s="39" t="n"/>
      <c r="GK44" s="39" t="n"/>
      <c r="GL44" s="39" t="n"/>
      <c r="GM44" s="39" t="n"/>
      <c r="GN44" s="39" t="n"/>
      <c r="GO44" s="39" t="n"/>
      <c r="GP44" s="39" t="n"/>
    </row>
    <row r="45" customFormat="1" s="7">
      <c r="B45" s="2" t="n"/>
      <c r="C45" s="4" t="n"/>
      <c r="D45" s="4" t="n"/>
      <c r="E45" s="4" t="n"/>
      <c r="F45" s="4" t="n"/>
      <c r="G45" s="4" t="n"/>
      <c r="H45" s="4" t="n"/>
      <c r="I45" s="6">
        <f>IF(OR(C45=" ",OR(H45="",H45=0)),"",H45/C45)</f>
        <v/>
      </c>
      <c r="J45" s="12" t="n"/>
      <c r="K45" s="6">
        <f>IF(OR(C45=" ",OR(J45="",J45=0)),"",J45/C45)</f>
        <v/>
      </c>
      <c r="L45" s="12" t="n"/>
      <c r="M45" s="6">
        <f>IF(OR(C45=" ",OR(L45="",L45=0)),"",L45/C45)</f>
        <v/>
      </c>
      <c r="N45" s="11" t="n"/>
      <c r="O45" s="6">
        <f>IF(OR(C45=" ",OR(N45="",N45=0)),"",N45/C45)</f>
        <v/>
      </c>
      <c r="P45" s="6">
        <f>IF(OR(H45=0,H45=""),"",J45/H45)</f>
        <v/>
      </c>
      <c r="Q45" s="6">
        <f>IF(OR(H45=0,H45=""),"",SUM(D45:E45)/H45)</f>
        <v/>
      </c>
      <c r="R45" s="6">
        <f>IF(Q45="","",1-Q45)</f>
        <v/>
      </c>
      <c r="S45" s="6">
        <f>IF(OR(I45="",I45=0),"",I45)</f>
        <v/>
      </c>
      <c r="T45" s="13"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39" t="n"/>
      <c r="BM45" s="39" t="n"/>
      <c r="BN45" s="39" t="n"/>
      <c r="BO45" s="39" t="n"/>
      <c r="BP45" s="39" t="n"/>
      <c r="BQ45" s="39" t="n"/>
      <c r="BR45" s="39" t="n"/>
      <c r="BS45" s="39" t="n"/>
      <c r="BT45" s="39" t="n"/>
      <c r="BU45" s="39" t="n"/>
      <c r="BV45" s="39" t="n"/>
      <c r="BW45" s="39" t="n"/>
      <c r="BX45" s="39" t="n"/>
      <c r="BY45" s="39" t="n"/>
      <c r="BZ45" s="39" t="n"/>
      <c r="CA45" s="39" t="n"/>
      <c r="CB45" s="39" t="n"/>
      <c r="CC45" s="39" t="n"/>
      <c r="CD45" s="39" t="n"/>
      <c r="CE45" s="39" t="n"/>
      <c r="CF45" s="39" t="n"/>
      <c r="CG45" s="39" t="n"/>
      <c r="CH45" s="39" t="n"/>
      <c r="CI45" s="39" t="n"/>
      <c r="CJ45" s="39" t="n"/>
      <c r="CK45" s="39" t="n"/>
      <c r="CL45" s="39" t="n"/>
      <c r="CM45" s="39" t="n"/>
      <c r="CN45" s="39" t="n"/>
      <c r="CO45" s="39" t="n"/>
      <c r="CP45" s="39" t="n"/>
      <c r="CQ45" s="39" t="n"/>
      <c r="CR45" s="39" t="n"/>
      <c r="CS45" s="39" t="n"/>
      <c r="CT45" s="39" t="n"/>
      <c r="CU45" s="39" t="n"/>
      <c r="CV45" s="39" t="n"/>
      <c r="CW45" s="39" t="n"/>
      <c r="CX45" s="39" t="n"/>
      <c r="CY45" s="39" t="n"/>
      <c r="CZ45" s="39" t="n"/>
      <c r="DA45" s="39" t="n"/>
      <c r="DB45" s="39" t="n"/>
      <c r="DC45" s="39" t="n"/>
      <c r="DD45" s="39" t="n"/>
      <c r="DE45" s="39" t="n"/>
      <c r="DF45" s="39" t="n"/>
      <c r="DG45" s="39" t="n"/>
      <c r="DH45" s="39" t="n"/>
      <c r="DI45" s="39" t="n"/>
      <c r="DJ45" s="39" t="n"/>
      <c r="DK45" s="39" t="n"/>
      <c r="DL45" s="39" t="n"/>
      <c r="DM45" s="39" t="n"/>
      <c r="DN45" s="39" t="n"/>
      <c r="DO45" s="39" t="n"/>
      <c r="DP45" s="39" t="n"/>
      <c r="DQ45" s="39" t="n"/>
      <c r="DR45" s="39" t="n"/>
      <c r="DS45" s="39" t="n"/>
      <c r="DT45" s="39" t="n"/>
      <c r="DU45" s="39" t="n"/>
      <c r="DV45" s="39" t="n"/>
      <c r="DW45" s="39" t="n"/>
      <c r="DX45" s="39" t="n"/>
      <c r="DY45" s="39" t="n"/>
      <c r="DZ45" s="39" t="n"/>
      <c r="EA45" s="39" t="n"/>
      <c r="EB45" s="39" t="n"/>
      <c r="EC45" s="39" t="n"/>
      <c r="ED45" s="39" t="n"/>
      <c r="EE45" s="39" t="n"/>
      <c r="EF45" s="39" t="n"/>
      <c r="EG45" s="39" t="n"/>
      <c r="EH45" s="39" t="n"/>
      <c r="EI45" s="39" t="n"/>
      <c r="EJ45" s="39" t="n"/>
      <c r="EK45" s="39" t="n"/>
      <c r="EL45" s="39" t="n"/>
      <c r="EM45" s="39" t="n"/>
      <c r="EN45" s="39" t="n"/>
      <c r="EO45" s="39" t="n"/>
      <c r="EP45" s="39" t="n"/>
      <c r="EQ45" s="39" t="n"/>
      <c r="ER45" s="39" t="n"/>
      <c r="ES45" s="39" t="n"/>
      <c r="ET45" s="39" t="n"/>
      <c r="EU45" s="39" t="n"/>
      <c r="EV45" s="39" t="n"/>
      <c r="EW45" s="39" t="n"/>
      <c r="EX45" s="39" t="n"/>
      <c r="EY45" s="39" t="n"/>
      <c r="EZ45" s="39" t="n"/>
      <c r="FA45" s="39" t="n"/>
      <c r="FB45" s="39" t="n"/>
      <c r="FC45" s="39" t="n"/>
      <c r="FD45" s="39" t="n"/>
      <c r="FE45" s="39" t="n"/>
      <c r="FF45" s="39" t="n"/>
      <c r="FG45" s="39" t="n"/>
      <c r="FH45" s="39" t="n"/>
      <c r="FI45" s="39" t="n"/>
      <c r="FJ45" s="39" t="n"/>
      <c r="FK45" s="39" t="n"/>
      <c r="FL45" s="39" t="n"/>
      <c r="FM45" s="39" t="n"/>
      <c r="FN45" s="39" t="n"/>
      <c r="FO45" s="39" t="n"/>
      <c r="FP45" s="39" t="n"/>
      <c r="FQ45" s="39" t="n"/>
      <c r="FR45" s="39" t="n"/>
      <c r="FS45" s="39" t="n"/>
      <c r="FT45" s="39" t="n"/>
      <c r="FU45" s="39" t="n"/>
      <c r="FV45" s="39" t="n"/>
      <c r="FW45" s="39" t="n"/>
      <c r="FX45" s="39" t="n"/>
      <c r="FY45" s="39" t="n"/>
      <c r="FZ45" s="39" t="n"/>
      <c r="GA45" s="39" t="n"/>
      <c r="GB45" s="39" t="n"/>
      <c r="GC45" s="39" t="n"/>
      <c r="GD45" s="39" t="n"/>
      <c r="GE45" s="39" t="n"/>
      <c r="GF45" s="39" t="n"/>
      <c r="GG45" s="39" t="n"/>
      <c r="GH45" s="39" t="n"/>
      <c r="GI45" s="39" t="n"/>
      <c r="GJ45" s="39" t="n"/>
      <c r="GK45" s="39" t="n"/>
      <c r="GL45" s="39" t="n"/>
      <c r="GM45" s="39" t="n"/>
      <c r="GN45" s="39" t="n"/>
      <c r="GO45" s="39" t="n"/>
      <c r="GP45" s="39" t="n"/>
    </row>
    <row r="46" customFormat="1" s="7">
      <c r="B46" s="2" t="n"/>
      <c r="C46" s="4" t="n"/>
      <c r="D46" s="4" t="n"/>
      <c r="E46" s="4" t="n"/>
      <c r="F46" s="4" t="n"/>
      <c r="G46" s="4" t="n"/>
      <c r="H46" s="4" t="n"/>
      <c r="I46" s="6">
        <f>IF(OR(C46=" ",OR(H46="",H46=0)),"",H46/C46)</f>
        <v/>
      </c>
      <c r="J46" s="12" t="n"/>
      <c r="K46" s="6">
        <f>IF(OR(C46=" ",OR(J46="",J46=0)),"",J46/C46)</f>
        <v/>
      </c>
      <c r="L46" s="12" t="n"/>
      <c r="M46" s="6">
        <f>IF(OR(C46=" ",OR(L46="",L46=0)),"",L46/C46)</f>
        <v/>
      </c>
      <c r="N46" s="11" t="n"/>
      <c r="O46" s="6">
        <f>IF(OR(C46=" ",OR(N46="",N46=0)),"",N46/C46)</f>
        <v/>
      </c>
      <c r="P46" s="6">
        <f>IF(OR(H46=0,H46=""),"",J46/H46)</f>
        <v/>
      </c>
      <c r="Q46" s="6">
        <f>IF(OR(H46=0,H46=""),"",SUM(D46:E46)/H46)</f>
        <v/>
      </c>
      <c r="R46" s="6">
        <f>IF(Q46="","",1-Q46)</f>
        <v/>
      </c>
      <c r="S46" s="6">
        <f>IF(OR(I46="",I46=0),"",I46)</f>
        <v/>
      </c>
      <c r="T46" s="13"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c r="BA46" s="39" t="n"/>
      <c r="BB46" s="39" t="n"/>
      <c r="BC46" s="39" t="n"/>
      <c r="BD46" s="39" t="n"/>
      <c r="BE46" s="39" t="n"/>
      <c r="BF46" s="39" t="n"/>
      <c r="BG46" s="39" t="n"/>
      <c r="BH46" s="39" t="n"/>
      <c r="BI46" s="39" t="n"/>
      <c r="BJ46" s="39" t="n"/>
      <c r="BK46" s="39" t="n"/>
      <c r="BL46" s="39" t="n"/>
      <c r="BM46" s="39" t="n"/>
      <c r="BN46" s="39" t="n"/>
      <c r="BO46" s="39" t="n"/>
      <c r="BP46" s="39" t="n"/>
      <c r="BQ46" s="39" t="n"/>
      <c r="BR46" s="39" t="n"/>
      <c r="BS46" s="39" t="n"/>
      <c r="BT46" s="39" t="n"/>
      <c r="BU46" s="39" t="n"/>
      <c r="BV46" s="39" t="n"/>
      <c r="BW46" s="39" t="n"/>
      <c r="BX46" s="39" t="n"/>
      <c r="BY46" s="39" t="n"/>
      <c r="BZ46" s="39" t="n"/>
      <c r="CA46" s="39" t="n"/>
      <c r="CB46" s="39" t="n"/>
      <c r="CC46" s="39" t="n"/>
      <c r="CD46" s="39" t="n"/>
      <c r="CE46" s="39" t="n"/>
      <c r="CF46" s="39" t="n"/>
      <c r="CG46" s="39" t="n"/>
      <c r="CH46" s="39" t="n"/>
      <c r="CI46" s="39" t="n"/>
      <c r="CJ46" s="39" t="n"/>
      <c r="CK46" s="39" t="n"/>
      <c r="CL46" s="39"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39" t="n"/>
      <c r="DI46" s="39" t="n"/>
      <c r="DJ46" s="39" t="n"/>
      <c r="DK46" s="39" t="n"/>
      <c r="DL46" s="39" t="n"/>
      <c r="DM46" s="39" t="n"/>
      <c r="DN46" s="39" t="n"/>
      <c r="DO46" s="39" t="n"/>
      <c r="DP46" s="39" t="n"/>
      <c r="DQ46" s="39" t="n"/>
      <c r="DR46" s="39" t="n"/>
      <c r="DS46" s="39" t="n"/>
      <c r="DT46" s="39" t="n"/>
      <c r="DU46" s="39" t="n"/>
      <c r="DV46" s="39" t="n"/>
      <c r="DW46" s="39" t="n"/>
      <c r="DX46" s="39" t="n"/>
      <c r="DY46" s="39" t="n"/>
      <c r="DZ46" s="39" t="n"/>
      <c r="EA46" s="39" t="n"/>
      <c r="EB46" s="39" t="n"/>
      <c r="EC46" s="39" t="n"/>
      <c r="ED46" s="39" t="n"/>
      <c r="EE46" s="39" t="n"/>
      <c r="EF46" s="39" t="n"/>
      <c r="EG46" s="39" t="n"/>
      <c r="EH46" s="39" t="n"/>
      <c r="EI46" s="39" t="n"/>
      <c r="EJ46" s="39" t="n"/>
      <c r="EK46" s="39" t="n"/>
      <c r="EL46" s="39" t="n"/>
      <c r="EM46" s="39" t="n"/>
      <c r="EN46" s="39" t="n"/>
      <c r="EO46" s="39" t="n"/>
      <c r="EP46" s="39" t="n"/>
      <c r="EQ46" s="39" t="n"/>
      <c r="ER46" s="39" t="n"/>
      <c r="ES46" s="39" t="n"/>
      <c r="ET46" s="39" t="n"/>
      <c r="EU46" s="39" t="n"/>
      <c r="EV46" s="39" t="n"/>
      <c r="EW46" s="39" t="n"/>
      <c r="EX46" s="39" t="n"/>
      <c r="EY46" s="39" t="n"/>
      <c r="EZ46" s="39" t="n"/>
      <c r="FA46" s="39" t="n"/>
      <c r="FB46" s="39" t="n"/>
      <c r="FC46" s="39" t="n"/>
      <c r="FD46" s="39" t="n"/>
      <c r="FE46" s="39" t="n"/>
      <c r="FF46" s="39" t="n"/>
      <c r="FG46" s="39" t="n"/>
      <c r="FH46" s="39" t="n"/>
      <c r="FI46" s="39" t="n"/>
      <c r="FJ46" s="39" t="n"/>
      <c r="FK46" s="39" t="n"/>
      <c r="FL46" s="39" t="n"/>
      <c r="FM46" s="39" t="n"/>
      <c r="FN46" s="39" t="n"/>
      <c r="FO46" s="39" t="n"/>
      <c r="FP46" s="39" t="n"/>
      <c r="FQ46" s="39" t="n"/>
      <c r="FR46" s="39" t="n"/>
      <c r="FS46" s="39" t="n"/>
      <c r="FT46" s="39" t="n"/>
      <c r="FU46" s="39" t="n"/>
      <c r="FV46" s="39" t="n"/>
      <c r="FW46" s="39" t="n"/>
      <c r="FX46" s="39" t="n"/>
      <c r="FY46" s="39" t="n"/>
      <c r="FZ46" s="39" t="n"/>
      <c r="GA46" s="39" t="n"/>
      <c r="GB46" s="39" t="n"/>
      <c r="GC46" s="39" t="n"/>
      <c r="GD46" s="39" t="n"/>
      <c r="GE46" s="39" t="n"/>
      <c r="GF46" s="39" t="n"/>
      <c r="GG46" s="39" t="n"/>
      <c r="GH46" s="39" t="n"/>
      <c r="GI46" s="39" t="n"/>
      <c r="GJ46" s="39" t="n"/>
      <c r="GK46" s="39" t="n"/>
      <c r="GL46" s="39" t="n"/>
      <c r="GM46" s="39" t="n"/>
      <c r="GN46" s="39" t="n"/>
      <c r="GO46" s="39" t="n"/>
      <c r="GP46" s="39" t="n"/>
    </row>
    <row r="47" ht="14.4" customHeight="1" thickBot="1">
      <c r="B47" s="14" t="inlineStr">
        <is>
          <t>Total</t>
        </is>
      </c>
      <c r="C47" s="15">
        <f>IF(OR(C44=0,C44=""),"",SUM(C44:C46))</f>
        <v/>
      </c>
      <c r="D47" s="15">
        <f>IF(OR(D44=0,D44=""),"",SUM(D44:D46))</f>
        <v/>
      </c>
      <c r="E47" s="15">
        <f>IF(OR(E44=0,E44=""),"",SUM(E44:E46))</f>
        <v/>
      </c>
      <c r="F47" s="15">
        <f>IF(OR(F44=0,F44=""),"",SUM(F44:F46))</f>
        <v/>
      </c>
      <c r="G47" s="15">
        <f>IF(OR(G44=0,G44=""),"",SUM(G44:G46))</f>
        <v/>
      </c>
      <c r="H47" s="15">
        <f>IF(OR(H44=0,H44=""),"",SUM(H44:H46))</f>
        <v/>
      </c>
      <c r="I47" s="1">
        <f>IF(OR(H47=0,H47=""),"",AVERAGE(I44:I46))</f>
        <v/>
      </c>
      <c r="J47" s="15">
        <f>IF(OR(J44=0,J44=""),"",SUM(J44:J46))</f>
        <v/>
      </c>
      <c r="K47" s="1">
        <f>IF(OR(J47=0,J47=""),"",AVERAGE(K44:K46))</f>
        <v/>
      </c>
      <c r="L47" s="15">
        <f>IF(OR(L44=0,L44=""),"",SUM(L44:L46))</f>
        <v/>
      </c>
      <c r="M47" s="1">
        <f>IF(OR(L47=0,L47=""),"",AVERAGE(M44:M46))</f>
        <v/>
      </c>
      <c r="N47" s="15">
        <f>IF(OR(N44=0,N44=""),"",SUM(N44:N46))</f>
        <v/>
      </c>
      <c r="O47" s="1">
        <f>IF(OR(N47=0,N47=""),"",AVERAGE(O44:O46))</f>
        <v/>
      </c>
      <c r="P47" s="1">
        <f>IF(OR(P44=""),"",AVERAGE(P44:P46))</f>
        <v/>
      </c>
      <c r="Q47" s="1">
        <f>IF(OR(Q44=""),"",AVERAGE(Q44:Q46))</f>
        <v/>
      </c>
      <c r="R47" s="1">
        <f>IF(OR(R44=0,R44=""),"",AVERAGE(R44:R46))</f>
        <v/>
      </c>
      <c r="S47" s="1">
        <f>IF(OR(S44=0,S44=""),"",AVERAGE(S44:S46))</f>
        <v/>
      </c>
      <c r="T47" s="25" t="n"/>
      <c r="U47" s="30" t="n"/>
      <c r="V47" s="30" t="n"/>
      <c r="W47" s="30" t="n"/>
      <c r="X47" s="30" t="n"/>
      <c r="Y47" s="30" t="n"/>
      <c r="Z47" s="30" t="n"/>
      <c r="AA47" s="30" t="n"/>
      <c r="AB47" s="30" t="n"/>
      <c r="AC47" s="30" t="n"/>
      <c r="AD47" s="30" t="n"/>
      <c r="AE47" s="30" t="n"/>
      <c r="AF47" s="30" t="n"/>
      <c r="AG47" s="30" t="n"/>
      <c r="AH47" s="30" t="n"/>
      <c r="AI47" s="30" t="n"/>
      <c r="AJ47" s="30" t="n"/>
      <c r="AK47" s="30" t="n"/>
      <c r="AL47" s="30" t="n"/>
      <c r="AM47" s="30" t="n"/>
      <c r="AN47" s="30" t="n"/>
      <c r="AO47" s="30" t="n"/>
      <c r="AP47" s="30" t="n"/>
      <c r="AQ47" s="30" t="n"/>
      <c r="AR47" s="30" t="n"/>
      <c r="AS47" s="30" t="n"/>
      <c r="AT47" s="30" t="n"/>
      <c r="AU47" s="30" t="n"/>
      <c r="AV47" s="30" t="n"/>
      <c r="AW47" s="30" t="n"/>
      <c r="AX47" s="30" t="n"/>
      <c r="AY47" s="30" t="n"/>
      <c r="AZ47" s="30" t="n"/>
      <c r="BA47" s="30" t="n"/>
      <c r="BB47" s="30" t="n"/>
      <c r="BC47" s="30" t="n"/>
      <c r="BD47" s="30" t="n"/>
      <c r="BE47" s="30" t="n"/>
      <c r="BF47" s="30" t="n"/>
      <c r="BG47" s="30" t="n"/>
      <c r="BH47" s="30" t="n"/>
      <c r="BI47" s="30" t="n"/>
      <c r="BJ47" s="30" t="n"/>
      <c r="BK47" s="30" t="n"/>
      <c r="BL47" s="30" t="n"/>
      <c r="BM47" s="30" t="n"/>
      <c r="BN47" s="30" t="n"/>
      <c r="BO47" s="30" t="n"/>
      <c r="BP47" s="30" t="n"/>
      <c r="BQ47" s="30" t="n"/>
      <c r="BR47" s="30" t="n"/>
      <c r="BS47" s="30" t="n"/>
      <c r="BT47" s="30" t="n"/>
      <c r="BU47" s="30" t="n"/>
      <c r="BV47" s="30" t="n"/>
      <c r="BW47" s="30" t="n"/>
      <c r="BX47" s="30" t="n"/>
      <c r="BY47" s="30" t="n"/>
      <c r="BZ47" s="30" t="n"/>
      <c r="CA47" s="30" t="n"/>
      <c r="CB47" s="30" t="n"/>
      <c r="CC47" s="30" t="n"/>
      <c r="CD47" s="30" t="n"/>
      <c r="CE47" s="30" t="n"/>
      <c r="CF47" s="30" t="n"/>
      <c r="CG47" s="30" t="n"/>
      <c r="CH47" s="30" t="n"/>
      <c r="CI47" s="30" t="n"/>
      <c r="CJ47" s="30" t="n"/>
      <c r="CK47" s="30" t="n"/>
      <c r="CL47" s="30" t="n"/>
      <c r="CM47" s="30" t="n"/>
      <c r="CN47" s="30" t="n"/>
      <c r="CO47" s="30" t="n"/>
      <c r="CP47" s="30" t="n"/>
      <c r="CQ47" s="30" t="n"/>
      <c r="CR47" s="30" t="n"/>
      <c r="CS47" s="30" t="n"/>
      <c r="CT47" s="30" t="n"/>
      <c r="CU47" s="30" t="n"/>
      <c r="CV47" s="30" t="n"/>
      <c r="CW47" s="30" t="n"/>
      <c r="CX47" s="30" t="n"/>
      <c r="CY47" s="30" t="n"/>
      <c r="CZ47" s="30" t="n"/>
      <c r="DA47" s="30" t="n"/>
      <c r="DB47" s="30" t="n"/>
      <c r="DC47" s="30" t="n"/>
      <c r="DD47" s="30" t="n"/>
      <c r="DE47" s="30" t="n"/>
      <c r="DF47" s="30" t="n"/>
      <c r="DG47" s="30" t="n"/>
      <c r="DH47" s="30" t="n"/>
      <c r="DI47" s="30" t="n"/>
      <c r="DJ47" s="30" t="n"/>
      <c r="DK47" s="30" t="n"/>
      <c r="DL47" s="30" t="n"/>
      <c r="DM47" s="30" t="n"/>
      <c r="DN47" s="30" t="n"/>
      <c r="DO47" s="30" t="n"/>
      <c r="DP47" s="30" t="n"/>
      <c r="DQ47" s="30" t="n"/>
      <c r="DR47" s="30" t="n"/>
      <c r="DS47" s="30" t="n"/>
      <c r="DT47" s="30" t="n"/>
      <c r="DU47" s="30" t="n"/>
      <c r="DV47" s="30" t="n"/>
      <c r="DW47" s="30" t="n"/>
      <c r="DX47" s="30" t="n"/>
      <c r="DY47" s="30" t="n"/>
      <c r="DZ47" s="30" t="n"/>
      <c r="EA47" s="30" t="n"/>
      <c r="EB47" s="30" t="n"/>
      <c r="EC47" s="30" t="n"/>
      <c r="ED47" s="30" t="n"/>
      <c r="EE47" s="30" t="n"/>
      <c r="EF47" s="30" t="n"/>
      <c r="EG47" s="30" t="n"/>
      <c r="EH47" s="30" t="n"/>
      <c r="EI47" s="30" t="n"/>
      <c r="EJ47" s="30" t="n"/>
      <c r="EK47" s="30" t="n"/>
      <c r="EL47" s="30" t="n"/>
      <c r="EM47" s="30" t="n"/>
      <c r="EN47" s="30" t="n"/>
      <c r="EO47" s="30" t="n"/>
      <c r="EP47" s="30" t="n"/>
      <c r="EQ47" s="30" t="n"/>
      <c r="ER47" s="30" t="n"/>
      <c r="ES47" s="30" t="n"/>
      <c r="ET47" s="30" t="n"/>
      <c r="EU47" s="30" t="n"/>
      <c r="EV47" s="30" t="n"/>
      <c r="EW47" s="30" t="n"/>
      <c r="EX47" s="30" t="n"/>
      <c r="EY47" s="30" t="n"/>
      <c r="EZ47" s="30" t="n"/>
      <c r="FA47" s="30" t="n"/>
      <c r="FB47" s="30" t="n"/>
      <c r="FC47" s="30" t="n"/>
      <c r="FD47" s="30" t="n"/>
      <c r="FE47" s="30" t="n"/>
      <c r="FF47" s="30" t="n"/>
      <c r="FG47" s="30" t="n"/>
      <c r="FH47" s="30" t="n"/>
      <c r="FI47" s="30" t="n"/>
      <c r="FJ47" s="30" t="n"/>
      <c r="FK47" s="30" t="n"/>
      <c r="FL47" s="30" t="n"/>
      <c r="FM47" s="30" t="n"/>
      <c r="FN47" s="30" t="n"/>
      <c r="FO47" s="30" t="n"/>
      <c r="FP47" s="30" t="n"/>
      <c r="FQ47" s="30" t="n"/>
      <c r="FR47" s="30" t="n"/>
      <c r="FS47" s="30" t="n"/>
      <c r="FT47" s="30" t="n"/>
      <c r="FU47" s="30" t="n"/>
      <c r="FV47" s="30" t="n"/>
      <c r="FW47" s="30" t="n"/>
      <c r="FX47" s="30" t="n"/>
      <c r="FY47" s="30" t="n"/>
      <c r="FZ47" s="30" t="n"/>
      <c r="GA47" s="30" t="n"/>
      <c r="GB47" s="30" t="n"/>
      <c r="GC47" s="30" t="n"/>
      <c r="GD47" s="30" t="n"/>
      <c r="GE47" s="30" t="n"/>
      <c r="GF47" s="30" t="n"/>
      <c r="GG47" s="30" t="n"/>
      <c r="GH47" s="30" t="n"/>
      <c r="GI47" s="30" t="n"/>
      <c r="GJ47" s="30" t="n"/>
      <c r="GK47" s="30" t="n"/>
      <c r="GL47" s="30" t="n"/>
      <c r="GM47" s="30" t="n"/>
      <c r="GN47" s="30" t="n"/>
      <c r="GO47" s="30" t="n"/>
      <c r="GP47" s="30" t="n"/>
    </row>
    <row r="48">
      <c r="B48" s="34" t="n"/>
      <c r="C48" s="35" t="n"/>
      <c r="D48" s="32" t="n"/>
      <c r="E48" s="32" t="n"/>
      <c r="F48" s="35" t="n"/>
      <c r="G48" s="32" t="n"/>
      <c r="H48" s="32" t="n"/>
      <c r="I48" s="35" t="n"/>
      <c r="J48" s="32" t="n"/>
      <c r="K48" s="32" t="n"/>
      <c r="L48" s="32" t="n"/>
      <c r="M48" s="32" t="n"/>
      <c r="N48" s="32" t="n"/>
      <c r="O48" s="32" t="n"/>
      <c r="P48" s="32" t="n"/>
      <c r="Q48" s="32" t="n"/>
      <c r="R48" s="32" t="n"/>
      <c r="S48" s="32" t="n"/>
      <c r="T48" s="33" t="n"/>
      <c r="U48" s="30" t="n"/>
      <c r="V48" s="30"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c r="EH48" s="30" t="n"/>
      <c r="EI48" s="30" t="n"/>
      <c r="EJ48" s="30" t="n"/>
      <c r="EK48" s="30" t="n"/>
      <c r="EL48" s="30" t="n"/>
      <c r="EM48" s="30" t="n"/>
      <c r="EN48" s="30" t="n"/>
      <c r="EO48" s="30" t="n"/>
      <c r="EP48" s="30" t="n"/>
      <c r="EQ48" s="30" t="n"/>
      <c r="ER48" s="30" t="n"/>
      <c r="ES48" s="30" t="n"/>
      <c r="ET48" s="30" t="n"/>
      <c r="EU48" s="30" t="n"/>
      <c r="EV48" s="30" t="n"/>
      <c r="EW48" s="30" t="n"/>
      <c r="EX48" s="30" t="n"/>
      <c r="EY48" s="30" t="n"/>
      <c r="EZ48" s="30" t="n"/>
      <c r="FA48" s="30" t="n"/>
      <c r="FB48" s="30" t="n"/>
      <c r="FC48" s="30" t="n"/>
      <c r="FD48" s="30" t="n"/>
      <c r="FE48" s="30" t="n"/>
      <c r="FF48" s="30" t="n"/>
      <c r="FG48" s="30" t="n"/>
      <c r="FH48" s="30" t="n"/>
      <c r="FI48" s="30" t="n"/>
      <c r="FJ48" s="30" t="n"/>
      <c r="FK48" s="30" t="n"/>
      <c r="FL48" s="30" t="n"/>
      <c r="FM48" s="30" t="n"/>
      <c r="FN48" s="30" t="n"/>
      <c r="FO48" s="30" t="n"/>
      <c r="FP48" s="30" t="n"/>
      <c r="FQ48" s="30" t="n"/>
      <c r="FR48" s="30" t="n"/>
      <c r="FS48" s="30" t="n"/>
      <c r="FT48" s="30" t="n"/>
      <c r="FU48" s="30" t="n"/>
      <c r="FV48" s="30" t="n"/>
      <c r="FW48" s="30" t="n"/>
      <c r="FX48" s="30" t="n"/>
      <c r="FY48" s="30" t="n"/>
      <c r="FZ48" s="30" t="n"/>
      <c r="GA48" s="30" t="n"/>
      <c r="GB48" s="30" t="n"/>
      <c r="GC48" s="30" t="n"/>
      <c r="GD48" s="30" t="n"/>
      <c r="GE48" s="30" t="n"/>
      <c r="GF48" s="30" t="n"/>
      <c r="GG48" s="30" t="n"/>
      <c r="GH48" s="30" t="n"/>
      <c r="GI48" s="30" t="n"/>
      <c r="GJ48" s="30" t="n"/>
      <c r="GK48" s="30" t="n"/>
      <c r="GL48" s="30" t="n"/>
      <c r="GM48" s="30" t="n"/>
      <c r="GN48" s="30" t="n"/>
      <c r="GO48" s="30" t="n"/>
      <c r="GP48" s="30" t="n"/>
    </row>
    <row r="49" ht="13.8" customHeight="1" thickBot="1">
      <c r="B49" s="36" t="n"/>
      <c r="C49" s="31" t="n"/>
      <c r="D49" s="31" t="n"/>
      <c r="E49" s="31" t="n"/>
      <c r="F49" s="31" t="n"/>
      <c r="G49" s="31" t="n"/>
      <c r="H49" s="31" t="n"/>
      <c r="I49" s="31" t="n"/>
      <c r="J49" s="31" t="n"/>
      <c r="K49" s="31" t="n"/>
      <c r="L49" s="31" t="n"/>
      <c r="M49" s="31" t="n"/>
      <c r="N49" s="31" t="n"/>
      <c r="O49" s="31" t="n"/>
      <c r="P49" s="31" t="n"/>
      <c r="Q49" s="31" t="n"/>
      <c r="R49" s="31" t="n"/>
      <c r="S49" s="31" t="n"/>
      <c r="T49" s="37" t="n"/>
      <c r="U49" s="30" t="n"/>
      <c r="V49" s="30"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c r="EH49" s="30" t="n"/>
      <c r="EI49" s="30" t="n"/>
      <c r="EJ49" s="30" t="n"/>
      <c r="EK49" s="30" t="n"/>
      <c r="EL49" s="30" t="n"/>
      <c r="EM49" s="30" t="n"/>
      <c r="EN49" s="30" t="n"/>
      <c r="EO49" s="30" t="n"/>
      <c r="EP49" s="30" t="n"/>
      <c r="EQ49" s="30" t="n"/>
      <c r="ER49" s="30" t="n"/>
      <c r="ES49" s="30" t="n"/>
      <c r="ET49" s="30" t="n"/>
      <c r="EU49" s="30" t="n"/>
      <c r="EV49" s="30" t="n"/>
      <c r="EW49" s="30" t="n"/>
      <c r="EX49" s="30" t="n"/>
      <c r="EY49" s="30" t="n"/>
      <c r="EZ49" s="30" t="n"/>
      <c r="FA49" s="30" t="n"/>
      <c r="FB49" s="30" t="n"/>
      <c r="FC49" s="30" t="n"/>
      <c r="FD49" s="30" t="n"/>
      <c r="FE49" s="30" t="n"/>
      <c r="FF49" s="30" t="n"/>
      <c r="FG49" s="30" t="n"/>
      <c r="FH49" s="30" t="n"/>
      <c r="FI49" s="30" t="n"/>
      <c r="FJ49" s="30" t="n"/>
      <c r="FK49" s="30" t="n"/>
      <c r="FL49" s="30" t="n"/>
      <c r="FM49" s="30" t="n"/>
      <c r="FN49" s="30" t="n"/>
      <c r="FO49" s="30" t="n"/>
      <c r="FP49" s="30" t="n"/>
      <c r="FQ49" s="30" t="n"/>
      <c r="FR49" s="30" t="n"/>
      <c r="FS49" s="30" t="n"/>
      <c r="FT49" s="30" t="n"/>
      <c r="FU49" s="30" t="n"/>
      <c r="FV49" s="30" t="n"/>
      <c r="FW49" s="30" t="n"/>
      <c r="FX49" s="30" t="n"/>
      <c r="FY49" s="30" t="n"/>
      <c r="FZ49" s="30" t="n"/>
      <c r="GA49" s="30" t="n"/>
      <c r="GB49" s="30" t="n"/>
      <c r="GC49" s="30" t="n"/>
      <c r="GD49" s="30" t="n"/>
      <c r="GE49" s="30" t="n"/>
      <c r="GF49" s="30" t="n"/>
      <c r="GG49" s="30" t="n"/>
      <c r="GH49" s="30" t="n"/>
      <c r="GI49" s="30" t="n"/>
      <c r="GJ49" s="30" t="n"/>
      <c r="GK49" s="30" t="n"/>
      <c r="GL49" s="30" t="n"/>
      <c r="GM49" s="30" t="n"/>
      <c r="GN49" s="30" t="n"/>
      <c r="GO49" s="30" t="n"/>
      <c r="GP49" s="30" t="n"/>
    </row>
    <row r="50" customFormat="1" s="30"/>
    <row r="51" customFormat="1" s="30"/>
    <row r="52" customFormat="1" s="30"/>
    <row r="53" customFormat="1" s="30"/>
    <row r="54" customFormat="1" s="30"/>
    <row r="55" customFormat="1" s="30"/>
    <row r="56" customFormat="1" s="30"/>
    <row r="57" customFormat="1" s="30"/>
    <row r="58" customFormat="1" s="30"/>
    <row r="59" customFormat="1" s="30"/>
    <row r="60" customFormat="1" s="30"/>
    <row r="61" customFormat="1" s="30"/>
    <row r="62" customFormat="1" s="30"/>
    <row r="63" customFormat="1" s="30"/>
    <row r="64" customFormat="1" s="30"/>
    <row r="65" customFormat="1" s="30"/>
    <row r="66" customFormat="1" s="30"/>
    <row r="67" customFormat="1" s="30"/>
    <row r="68" customFormat="1" s="30"/>
    <row r="69" customFormat="1" s="30"/>
    <row r="70" customFormat="1" s="30"/>
    <row r="71" customFormat="1" s="30"/>
    <row r="72" customFormat="1" s="30"/>
    <row r="73" customFormat="1" s="30"/>
    <row r="74" customFormat="1" s="30"/>
    <row r="75" customFormat="1" s="30"/>
    <row r="76" customFormat="1" s="30"/>
    <row r="77" customFormat="1" s="30"/>
    <row r="78" customFormat="1" s="30"/>
    <row r="79" customFormat="1" s="30"/>
    <row r="80" customFormat="1" s="30"/>
    <row r="81" customFormat="1" s="30"/>
    <row r="82" customFormat="1" s="30"/>
    <row r="83" customFormat="1" s="30"/>
    <row r="84" customFormat="1" s="30"/>
    <row r="85" customFormat="1" s="30"/>
    <row r="86" customFormat="1" s="30"/>
    <row r="87" customFormat="1" s="30"/>
    <row r="88" customFormat="1" s="30"/>
    <row r="89" customFormat="1" s="30"/>
    <row r="90" customFormat="1" s="30"/>
    <row r="91" customFormat="1" s="30"/>
    <row r="92" customFormat="1" s="30"/>
    <row r="93" customFormat="1" s="30"/>
    <row r="94" customFormat="1" s="30"/>
    <row r="95" customFormat="1" s="30"/>
    <row r="96" customFormat="1" s="30"/>
    <row r="97" customFormat="1" s="30"/>
    <row r="98" customFormat="1" s="30"/>
    <row r="99" customFormat="1" s="30"/>
    <row r="100" customFormat="1" s="30"/>
    <row r="101" customFormat="1" s="30"/>
    <row r="102" customFormat="1" s="30"/>
    <row r="103" customFormat="1" s="30"/>
    <row r="104" customFormat="1" s="30"/>
    <row r="105" customFormat="1" s="30"/>
    <row r="106" customFormat="1" s="30"/>
    <row r="107" customFormat="1" s="30"/>
    <row r="108" customFormat="1" s="30"/>
    <row r="109" customFormat="1" s="30"/>
    <row r="110" customFormat="1" s="30"/>
    <row r="111" customFormat="1" s="30"/>
    <row r="112" customFormat="1" s="30"/>
    <row r="113" customFormat="1" s="30"/>
    <row r="114" customFormat="1" s="30"/>
    <row r="115" customFormat="1" s="30"/>
    <row r="116" customFormat="1" s="30"/>
    <row r="117" customFormat="1" s="30"/>
    <row r="118" customFormat="1" s="30"/>
    <row r="119" customFormat="1" s="30"/>
    <row r="120" customFormat="1" s="30"/>
    <row r="121" customFormat="1" s="30"/>
    <row r="122" customFormat="1" s="30"/>
    <row r="123" customFormat="1" s="30"/>
    <row r="124" customFormat="1" s="30"/>
    <row r="125" customFormat="1" s="30"/>
    <row r="126" customFormat="1" s="30"/>
    <row r="127" customFormat="1" s="30"/>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row r="438" customFormat="1" s="30"/>
    <row r="439" customFormat="1" s="30"/>
    <row r="440" customFormat="1" s="30"/>
    <row r="441" customFormat="1" s="30"/>
    <row r="442" customFormat="1" s="30"/>
    <row r="443" customFormat="1" s="30"/>
    <row r="444" customFormat="1" s="30"/>
    <row r="445" customFormat="1" s="30"/>
    <row r="446" customFormat="1" s="30"/>
    <row r="447" customFormat="1" s="30"/>
    <row r="448" customFormat="1" s="30"/>
    <row r="449" customFormat="1" s="30"/>
    <row r="450" customFormat="1" s="30"/>
    <row r="451" customFormat="1" s="30"/>
    <row r="452" customFormat="1" s="30"/>
    <row r="453" customFormat="1" s="30"/>
    <row r="454" customFormat="1" s="30"/>
    <row r="455" customFormat="1" s="30"/>
    <row r="456" customFormat="1" s="30"/>
    <row r="457" customFormat="1" s="30"/>
    <row r="458" customFormat="1" s="30"/>
    <row r="459" customFormat="1" s="30"/>
    <row r="460" customFormat="1" s="30"/>
    <row r="461" customFormat="1" s="30"/>
    <row r="462" customFormat="1" s="30"/>
    <row r="463" customFormat="1" s="30"/>
    <row r="464" customFormat="1" s="30"/>
    <row r="465" customFormat="1" s="30"/>
    <row r="466" customFormat="1" s="30"/>
    <row r="467" customFormat="1" s="30"/>
    <row r="468" customFormat="1" s="30"/>
    <row r="469" customFormat="1" s="30"/>
    <row r="470" customFormat="1" s="30"/>
    <row r="471" customFormat="1" s="30"/>
    <row r="472" customFormat="1" s="30"/>
    <row r="473" customFormat="1" s="30"/>
    <row r="474" customFormat="1" s="30"/>
    <row r="475" customFormat="1" s="30"/>
    <row r="476" customFormat="1" s="30"/>
    <row r="477" customFormat="1" s="30"/>
    <row r="478" customFormat="1" s="30"/>
    <row r="479" customFormat="1" s="30"/>
    <row r="480" customFormat="1" s="30"/>
    <row r="481" customFormat="1" s="30"/>
    <row r="482" customFormat="1" s="30"/>
    <row r="483" customFormat="1" s="30"/>
    <row r="484" customFormat="1" s="30"/>
    <row r="485" customFormat="1" s="30"/>
    <row r="486" customFormat="1" s="30"/>
    <row r="487" customFormat="1" s="30"/>
    <row r="488" customFormat="1" s="30"/>
    <row r="489" customFormat="1" s="30"/>
    <row r="490" customFormat="1" s="30"/>
    <row r="491" customFormat="1" s="30"/>
    <row r="492" customFormat="1" s="30"/>
    <row r="493" customFormat="1" s="30"/>
    <row r="494" customFormat="1" s="30"/>
    <row r="495" customFormat="1" s="30"/>
    <row r="496" customFormat="1" s="30"/>
    <row r="497" customFormat="1" s="30"/>
    <row r="498" customFormat="1" s="30"/>
    <row r="499" customFormat="1" s="30"/>
  </sheetData>
  <sheetProtection selectLockedCells="0" selectUnlockedCells="0" sheet="1" objects="1" insertRows="1" insertHyperlinks="1" autoFilter="1" scenarios="1" formatColumns="1" deleteColumns="1" insertColumns="1" pivotTables="1" deleteRows="1" formatCells="1" formatRows="1" sort="1" password="CC4B"/>
  <mergeCells count="71">
    <mergeCell ref="L7:M7"/>
    <mergeCell ref="C42:C43"/>
    <mergeCell ref="L16:M16"/>
    <mergeCell ref="N7:O7"/>
    <mergeCell ref="C33:C34"/>
    <mergeCell ref="H43:I43"/>
    <mergeCell ref="N16:O16"/>
    <mergeCell ref="G42:G43"/>
    <mergeCell ref="Q33:Q34"/>
    <mergeCell ref="N25:O25"/>
    <mergeCell ref="P6:P7"/>
    <mergeCell ref="Q42:Q43"/>
    <mergeCell ref="R6:R7"/>
    <mergeCell ref="R24:R25"/>
    <mergeCell ref="S42:S43"/>
    <mergeCell ref="B42:B43"/>
    <mergeCell ref="R15:R16"/>
    <mergeCell ref="H34:I34"/>
    <mergeCell ref="H25:I25"/>
    <mergeCell ref="L43:M43"/>
    <mergeCell ref="J34:K34"/>
    <mergeCell ref="N43:O43"/>
    <mergeCell ref="H6:O6"/>
    <mergeCell ref="G6:G7"/>
    <mergeCell ref="G15:G16"/>
    <mergeCell ref="Q6:Q7"/>
    <mergeCell ref="R42:R43"/>
    <mergeCell ref="G24:G25"/>
    <mergeCell ref="S6:S7"/>
    <mergeCell ref="B6:B7"/>
    <mergeCell ref="S24:S25"/>
    <mergeCell ref="D33:F33"/>
    <mergeCell ref="B24:B25"/>
    <mergeCell ref="Q15:Q16"/>
    <mergeCell ref="D24:F24"/>
    <mergeCell ref="D42:F42"/>
    <mergeCell ref="S15:S16"/>
    <mergeCell ref="B15:B16"/>
    <mergeCell ref="D15:F15"/>
    <mergeCell ref="G33:G34"/>
    <mergeCell ref="H16:I16"/>
    <mergeCell ref="J16:K16"/>
    <mergeCell ref="H7:I7"/>
    <mergeCell ref="J7:K7"/>
    <mergeCell ref="J25:K25"/>
    <mergeCell ref="S33:S34"/>
    <mergeCell ref="B33:B34"/>
    <mergeCell ref="L25:M25"/>
    <mergeCell ref="T42:T43"/>
    <mergeCell ref="T6:T7"/>
    <mergeCell ref="P24:P25"/>
    <mergeCell ref="P15:P16"/>
    <mergeCell ref="R33:R34"/>
    <mergeCell ref="T15:T16"/>
    <mergeCell ref="B2:T4"/>
    <mergeCell ref="L34:M34"/>
    <mergeCell ref="J43:K43"/>
    <mergeCell ref="N34:O34"/>
    <mergeCell ref="P33:P34"/>
    <mergeCell ref="H15:O15"/>
    <mergeCell ref="H33:O33"/>
    <mergeCell ref="P42:P43"/>
    <mergeCell ref="T33:T34"/>
    <mergeCell ref="H42:O42"/>
    <mergeCell ref="H24:O24"/>
    <mergeCell ref="T24:T25"/>
    <mergeCell ref="C24:C25"/>
    <mergeCell ref="C15:C16"/>
    <mergeCell ref="C6:C7"/>
    <mergeCell ref="D6:F6"/>
    <mergeCell ref="Q24:Q2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dc:creator>
  <dcterms:created xmlns:dcterms="http://purl.org/dc/terms/" xmlns:xsi="http://www.w3.org/2001/XMLSchema-instance" xsi:type="dcterms:W3CDTF">2003-08-01T15:56:48Z</dcterms:created>
  <dcterms:modified xmlns:dcterms="http://purl.org/dc/terms/" xmlns:xsi="http://www.w3.org/2001/XMLSchema-instance" xsi:type="dcterms:W3CDTF">2025-11-19T17:49:06Z</dcterms:modified>
  <cp:lastModifiedBy>David Calle</cp:lastModifiedBy>
</cp:coreProperties>
</file>