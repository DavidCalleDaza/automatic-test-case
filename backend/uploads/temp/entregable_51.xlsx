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438" firstSheet="0" activeTab="3" autoFilterDateGrouping="1"/>
  </bookViews>
  <sheets>
    <sheet xmlns:r="http://schemas.openxmlformats.org/officeDocument/2006/relationships" name="Control Cambios" sheetId="1" state="visible" r:id="rId1"/>
    <sheet xmlns:r="http://schemas.openxmlformats.org/officeDocument/2006/relationships" name="Análisis 2" sheetId="2" state="hidden" r:id="rId2"/>
    <sheet xmlns:r="http://schemas.openxmlformats.org/officeDocument/2006/relationships" name="Análisis" sheetId="3" state="visible" r:id="rId3"/>
    <sheet xmlns:r="http://schemas.openxmlformats.org/officeDocument/2006/relationships" name="Casos de Prueba" sheetId="4" state="visible" r:id="rId4"/>
    <sheet xmlns:r="http://schemas.openxmlformats.org/officeDocument/2006/relationships" name="Resultados-Requerimientos" sheetId="5" state="visible" r:id="rId5"/>
  </sheets>
  <definedNames>
    <definedName name="BT175_201701141430">#REF!</definedName>
    <definedName name="BTcolgap_201701161503">#REF!</definedName>
    <definedName name="BTNIIF_201701141430">#REF!</definedName>
    <definedName name="consolidado">#REF!</definedName>
    <definedName name="INSERT_INICIAL">#REF!</definedName>
    <definedName name="RUBROREL82">#REF!</definedName>
    <definedName name="RUBROREL822">#REF!</definedName>
    <definedName name="RUBROREL823">#REF!</definedName>
    <definedName name="BT175_201701141430" localSheetId="1">#REF!</definedName>
    <definedName name="BTcolgap_201701161503" localSheetId="1">#REF!</definedName>
    <definedName name="BTNIIF_201701141430" localSheetId="1">#REF!</definedName>
    <definedName name="consolidado" localSheetId="1">#REF!</definedName>
    <definedName name="INSERT_INICIAL" localSheetId="1">#REF!</definedName>
    <definedName name="RUBROREL82" localSheetId="1">#REF!</definedName>
    <definedName name="RUBROREL822" localSheetId="1">#REF!</definedName>
    <definedName name="RUBROREL823" localSheetId="1">#REF!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 * #,##0.00_ ;_ * \-#,##0.00_ ;_ * &quot;-&quot;??_ ;_ @_ "/>
    <numFmt numFmtId="166" formatCode="_(&quot;$&quot;* #,##0.00_);_(&quot;$&quot;* \(#,##0.00\);_(&quot;$&quot;* &quot;-&quot;??_);_(@_)"/>
  </numFmts>
  <fonts count="3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color indexed="55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2"/>
    </font>
    <font>
      <name val="Arial"/>
      <family val="2"/>
      <color theme="1"/>
      <sz val="10"/>
    </font>
    <font>
      <name val="Arial"/>
      <family val="2"/>
      <color indexed="0"/>
      <sz val="10"/>
    </font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color theme="1"/>
      <sz val="10"/>
      <scheme val="minor"/>
    </font>
    <font>
      <name val="Arial"/>
      <family val="2"/>
      <color theme="0" tint="-0.0499893185216834"/>
      <sz val="10"/>
    </font>
    <font>
      <name val="Arial"/>
      <family val="2"/>
      <sz val="11"/>
    </font>
    <font>
      <name val="Arial"/>
      <family val="2"/>
      <b val="1"/>
      <i val="1"/>
      <color theme="0"/>
      <sz val="11"/>
    </font>
    <font>
      <name val="Arial"/>
      <family val="2"/>
      <i val="1"/>
      <color theme="0"/>
      <sz val="11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sz val="8"/>
    </font>
    <font>
      <name val="Arial"/>
      <family val="2"/>
      <color theme="1"/>
      <sz val="12"/>
    </font>
    <font>
      <name val="Arial"/>
      <family val="2"/>
      <b val="1"/>
      <color theme="4" tint="-0.249977111117893"/>
      <sz val="14"/>
    </font>
    <font>
      <name val="Arial"/>
      <family val="2"/>
      <color theme="0" tint="-0.3499862666707358"/>
      <sz val="10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9">
    <xf numFmtId="0" fontId="0" fillId="0" borderId="0"/>
    <xf numFmtId="0" fontId="13" fillId="0" borderId="0"/>
    <xf numFmtId="0" fontId="13" fillId="0" borderId="0"/>
    <xf numFmtId="9" fontId="13" fillId="0" borderId="0"/>
    <xf numFmtId="164" fontId="13" fillId="0" borderId="0"/>
    <xf numFmtId="165" fontId="13" fillId="0" borderId="0"/>
    <xf numFmtId="0" fontId="13" fillId="0" borderId="0"/>
    <xf numFmtId="9" fontId="13" fillId="0" borderId="0"/>
    <xf numFmtId="164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0" borderId="0"/>
    <xf numFmtId="166" fontId="26" fillId="0" borderId="0"/>
    <xf numFmtId="43" fontId="13" fillId="0" borderId="0"/>
    <xf numFmtId="0" fontId="24" fillId="0" borderId="0"/>
    <xf numFmtId="0" fontId="24" fillId="0" borderId="0"/>
    <xf numFmtId="9" fontId="26" fillId="0" borderId="0"/>
    <xf numFmtId="0" fontId="13" fillId="0" borderId="0"/>
    <xf numFmtId="43" fontId="13" fillId="0" borderId="0"/>
    <xf numFmtId="0" fontId="25" fillId="0" borderId="0"/>
    <xf numFmtId="0" fontId="13" fillId="0" borderId="0"/>
    <xf numFmtId="0" fontId="26" fillId="0" borderId="0"/>
    <xf numFmtId="9" fontId="26" fillId="0" borderId="0"/>
    <xf numFmtId="0" fontId="13" fillId="0" borderId="0"/>
    <xf numFmtId="0" fontId="26" fillId="0" borderId="0"/>
    <xf numFmtId="0" fontId="13" fillId="0" borderId="0"/>
    <xf numFmtId="0" fontId="26" fillId="0" borderId="0"/>
    <xf numFmtId="0" fontId="13" fillId="0" borderId="0"/>
    <xf numFmtId="0" fontId="13" fillId="0" borderId="0"/>
    <xf numFmtId="9" fontId="13" fillId="0" borderId="0"/>
    <xf numFmtId="164" fontId="13" fillId="0" borderId="0"/>
    <xf numFmtId="165" fontId="13" fillId="0" borderId="0"/>
    <xf numFmtId="0" fontId="13" fillId="0" borderId="0"/>
    <xf numFmtId="9" fontId="13" fillId="0" borderId="0"/>
    <xf numFmtId="164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/>
    <xf numFmtId="0" fontId="13" fillId="0" borderId="0"/>
    <xf numFmtId="43" fontId="13" fillId="0" borderId="0"/>
    <xf numFmtId="0" fontId="13" fillId="0" borderId="0"/>
    <xf numFmtId="0" fontId="26" fillId="0" borderId="0"/>
    <xf numFmtId="0" fontId="13" fillId="0" borderId="0"/>
    <xf numFmtId="0" fontId="13" fillId="0" borderId="0"/>
    <xf numFmtId="165" fontId="13" fillId="0" borderId="0"/>
    <xf numFmtId="165" fontId="13" fillId="0" borderId="0"/>
    <xf numFmtId="43" fontId="27" fillId="0" borderId="0"/>
    <xf numFmtId="165" fontId="13" fillId="0" borderId="0"/>
    <xf numFmtId="165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26" fillId="0" borderId="0"/>
    <xf numFmtId="164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0" fontId="13" fillId="6" borderId="31"/>
    <xf numFmtId="9" fontId="26" fillId="0" borderId="0"/>
    <xf numFmtId="9" fontId="26" fillId="0" borderId="0"/>
    <xf numFmtId="9" fontId="26" fillId="0" borderId="0"/>
    <xf numFmtId="0" fontId="13" fillId="0" borderId="0"/>
  </cellStyleXfs>
  <cellXfs count="183">
    <xf numFmtId="0" fontId="0" fillId="0" borderId="0" pivotButton="0" quotePrefix="0" xfId="0"/>
    <xf numFmtId="9" fontId="18" fillId="2" borderId="26" applyAlignment="1" pivotButton="0" quotePrefix="0" xfId="26">
      <alignment horizontal="center"/>
    </xf>
    <xf numFmtId="0" fontId="23" fillId="0" borderId="22" applyAlignment="1" applyProtection="1" pivotButton="0" quotePrefix="0" xfId="26">
      <alignment horizontal="left"/>
      <protection locked="0" hidden="0"/>
    </xf>
    <xf numFmtId="0" fontId="23" fillId="0" borderId="2" applyAlignment="1" applyProtection="1" pivotButton="0" quotePrefix="0" xfId="26">
      <alignment horizontal="center"/>
      <protection locked="0" hidden="0"/>
    </xf>
    <xf numFmtId="0" fontId="23" fillId="0" borderId="1" applyAlignment="1" applyProtection="1" pivotButton="0" quotePrefix="0" xfId="26">
      <alignment horizontal="center"/>
      <protection locked="0" hidden="0"/>
    </xf>
    <xf numFmtId="9" fontId="23" fillId="0" borderId="2" applyAlignment="1" pivotButton="0" quotePrefix="0" xfId="26">
      <alignment horizontal="center"/>
    </xf>
    <xf numFmtId="9" fontId="23" fillId="0" borderId="2" applyAlignment="1" pivotButton="0" quotePrefix="0" xfId="26">
      <alignment horizontal="center"/>
    </xf>
    <xf numFmtId="0" fontId="23" fillId="0" borderId="0" pivotButton="0" quotePrefix="0" xfId="0"/>
    <xf numFmtId="0" fontId="3" fillId="0" borderId="0" pivotButton="0" quotePrefix="0" xfId="51"/>
    <xf numFmtId="0" fontId="18" fillId="2" borderId="18" applyAlignment="1" pivotButton="0" quotePrefix="0" xfId="49">
      <alignment horizontal="center" vertical="center" wrapText="1"/>
    </xf>
    <xf numFmtId="0" fontId="23" fillId="0" borderId="1" applyAlignment="1" pivotButton="0" quotePrefix="0" xfId="26">
      <alignment horizontal="center"/>
    </xf>
    <xf numFmtId="0" fontId="23" fillId="0" borderId="2" applyAlignment="1" applyProtection="1" pivotButton="0" quotePrefix="0" xfId="49">
      <alignment horizontal="center"/>
      <protection locked="0" hidden="0"/>
    </xf>
    <xf numFmtId="0" fontId="23" fillId="0" borderId="1" applyAlignment="1" applyProtection="1" pivotButton="0" quotePrefix="0" xfId="49">
      <alignment horizontal="center"/>
      <protection locked="0" hidden="0"/>
    </xf>
    <xf numFmtId="0" fontId="23" fillId="0" borderId="24" pivotButton="0" quotePrefix="0" xfId="49"/>
    <xf numFmtId="0" fontId="20" fillId="2" borderId="25" pivotButton="0" quotePrefix="0" xfId="49"/>
    <xf numFmtId="0" fontId="18" fillId="2" borderId="26" applyAlignment="1" pivotButton="0" quotePrefix="0" xfId="49">
      <alignment horizontal="center"/>
    </xf>
    <xf numFmtId="0" fontId="28" fillId="0" borderId="0" pivotButton="0" quotePrefix="0" xfId="0"/>
    <xf numFmtId="0" fontId="23" fillId="0" borderId="2" applyAlignment="1" pivotButton="0" quotePrefix="0" xfId="26">
      <alignment horizontal="center"/>
    </xf>
    <xf numFmtId="9" fontId="23" fillId="0" borderId="14" applyAlignment="1" pivotButton="0" quotePrefix="0" xfId="26">
      <alignment horizontal="center"/>
    </xf>
    <xf numFmtId="9" fontId="18" fillId="2" borderId="28" applyAlignment="1" pivotButton="0" quotePrefix="0" xfId="26">
      <alignment horizontal="center"/>
    </xf>
    <xf numFmtId="0" fontId="18" fillId="2" borderId="25" applyAlignment="1" pivotButton="0" quotePrefix="0" xfId="49">
      <alignment horizontal="center"/>
    </xf>
    <xf numFmtId="0" fontId="23" fillId="0" borderId="29" applyAlignment="1" applyProtection="1" pivotButton="0" quotePrefix="0" xfId="26">
      <alignment horizontal="center"/>
      <protection locked="0" hidden="0"/>
    </xf>
    <xf numFmtId="0" fontId="23" fillId="0" borderId="22" applyAlignment="1" pivotButton="0" quotePrefix="0" xfId="26">
      <alignment horizontal="left"/>
    </xf>
    <xf numFmtId="0" fontId="23" fillId="0" borderId="2" applyAlignment="1" pivotButton="0" quotePrefix="0" xfId="49">
      <alignment horizontal="center"/>
    </xf>
    <xf numFmtId="0" fontId="23" fillId="0" borderId="23" pivotButton="0" quotePrefix="0" xfId="49"/>
    <xf numFmtId="0" fontId="18" fillId="2" borderId="27" pivotButton="0" quotePrefix="0" xfId="49"/>
    <xf numFmtId="9" fontId="23" fillId="0" borderId="2" applyAlignment="1" applyProtection="1" pivotButton="0" quotePrefix="0" xfId="26">
      <alignment horizontal="center"/>
      <protection locked="0" hidden="0"/>
    </xf>
    <xf numFmtId="9" fontId="23" fillId="0" borderId="14" applyAlignment="1" applyProtection="1" pivotButton="0" quotePrefix="0" xfId="26">
      <alignment horizontal="center"/>
      <protection locked="0" hidden="0"/>
    </xf>
    <xf numFmtId="0" fontId="23" fillId="0" borderId="23" applyProtection="1" pivotButton="0" quotePrefix="0" xfId="49">
      <protection locked="0" hidden="0"/>
    </xf>
    <xf numFmtId="0" fontId="23" fillId="0" borderId="0" applyProtection="1" pivotButton="0" quotePrefix="0" xfId="0">
      <protection locked="0" hidden="0"/>
    </xf>
    <xf numFmtId="0" fontId="0" fillId="3" borderId="0" pivotButton="0" quotePrefix="0" xfId="0"/>
    <xf numFmtId="0" fontId="14" fillId="3" borderId="6" pivotButton="0" quotePrefix="0" xfId="49"/>
    <xf numFmtId="0" fontId="14" fillId="3" borderId="0" pivotButton="0" quotePrefix="0" xfId="49"/>
    <xf numFmtId="0" fontId="14" fillId="3" borderId="3" pivotButton="0" quotePrefix="0" xfId="49"/>
    <xf numFmtId="0" fontId="14" fillId="3" borderId="4" pivotButton="0" quotePrefix="0" xfId="49"/>
    <xf numFmtId="0" fontId="17" fillId="3" borderId="0" applyAlignment="1" pivotButton="0" quotePrefix="0" xfId="49">
      <alignment horizontal="center"/>
    </xf>
    <xf numFmtId="0" fontId="14" fillId="3" borderId="5" pivotButton="0" quotePrefix="0" xfId="49"/>
    <xf numFmtId="0" fontId="14" fillId="3" borderId="7" pivotButton="0" quotePrefix="0" xfId="49"/>
    <xf numFmtId="0" fontId="23" fillId="3" borderId="0" applyProtection="1" pivotButton="0" quotePrefix="0" xfId="0">
      <protection locked="0" hidden="0"/>
    </xf>
    <xf numFmtId="0" fontId="23" fillId="3" borderId="0" pivotButton="0" quotePrefix="0" xfId="0"/>
    <xf numFmtId="10" fontId="0" fillId="3" borderId="0" pivotButton="0" quotePrefix="0" xfId="0"/>
    <xf numFmtId="0" fontId="15" fillId="5" borderId="5" pivotButton="0" quotePrefix="0" xfId="49"/>
    <xf numFmtId="0" fontId="17" fillId="5" borderId="6" applyAlignment="1" pivotButton="0" quotePrefix="0" xfId="49">
      <alignment horizontal="center"/>
    </xf>
    <xf numFmtId="0" fontId="14" fillId="5" borderId="6" pivotButton="0" quotePrefix="0" xfId="49"/>
    <xf numFmtId="0" fontId="14" fillId="5" borderId="0" pivotButton="0" quotePrefix="0" xfId="49"/>
    <xf numFmtId="0" fontId="14" fillId="5" borderId="3" pivotButton="0" quotePrefix="0" xfId="49"/>
    <xf numFmtId="0" fontId="29" fillId="0" borderId="33" applyAlignment="1" pivotButton="0" quotePrefix="0" xfId="138">
      <alignment horizontal="left"/>
    </xf>
    <xf numFmtId="0" fontId="31" fillId="4" borderId="32" pivotButton="0" quotePrefix="0" xfId="0"/>
    <xf numFmtId="0" fontId="30" fillId="4" borderId="35" applyAlignment="1" pivotButton="0" quotePrefix="0" xfId="0">
      <alignment wrapText="1"/>
    </xf>
    <xf numFmtId="0" fontId="20" fillId="4" borderId="8" pivotButton="0" quotePrefix="0" xfId="0"/>
    <xf numFmtId="0" fontId="20" fillId="4" borderId="1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 wrapText="1"/>
    </xf>
    <xf numFmtId="49" fontId="29" fillId="0" borderId="34" applyAlignment="1" pivotButton="0" quotePrefix="0" xfId="28">
      <alignment wrapText="1"/>
    </xf>
    <xf numFmtId="49" fontId="29" fillId="0" borderId="0" applyAlignment="1" pivotButton="0" quotePrefix="0" xfId="28">
      <alignment wrapText="1"/>
    </xf>
    <xf numFmtId="0" fontId="31" fillId="4" borderId="30" pivotButton="0" quotePrefix="0" xfId="0"/>
    <xf numFmtId="9" fontId="32" fillId="7" borderId="1" applyAlignment="1" pivotButton="0" quotePrefix="0" xfId="138">
      <alignment horizontal="left" vertical="center" wrapText="1"/>
    </xf>
    <xf numFmtId="0" fontId="33" fillId="0" borderId="1" applyAlignment="1" pivotButton="0" quotePrefix="0" xfId="138">
      <alignment horizontal="center" vertical="center"/>
    </xf>
    <xf numFmtId="0" fontId="33" fillId="3" borderId="0" applyAlignment="1" pivotButton="0" quotePrefix="0" xfId="138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3" fillId="0" borderId="17" applyAlignment="1" pivotButton="0" quotePrefix="0" xfId="0">
      <alignment horizontal="center" vertical="center"/>
    </xf>
    <xf numFmtId="14" fontId="14" fillId="3" borderId="1" applyAlignment="1" pivotButton="0" quotePrefix="0" xfId="1">
      <alignment horizontal="center" vertical="center"/>
    </xf>
    <xf numFmtId="49" fontId="29" fillId="0" borderId="33" applyAlignment="1" pivotButton="0" quotePrefix="0" xfId="28">
      <alignment wrapText="1"/>
    </xf>
    <xf numFmtId="0" fontId="33" fillId="0" borderId="0" applyAlignment="1" pivotButton="0" quotePrefix="0" xfId="138">
      <alignment horizontal="center" vertical="center"/>
    </xf>
    <xf numFmtId="9" fontId="32" fillId="8" borderId="1" applyAlignment="1" pivotButton="0" quotePrefix="0" xfId="138">
      <alignment horizontal="left" vertical="center" wrapText="1"/>
    </xf>
    <xf numFmtId="0" fontId="29" fillId="0" borderId="0" applyAlignment="1" pivotButton="0" quotePrefix="0" xfId="138">
      <alignment horizontal="left"/>
    </xf>
    <xf numFmtId="9" fontId="32" fillId="7" borderId="17" applyAlignment="1" pivotButton="0" quotePrefix="0" xfId="138">
      <alignment horizontal="left" vertical="center" wrapText="1"/>
    </xf>
    <xf numFmtId="9" fontId="32" fillId="8" borderId="17" applyAlignment="1" pivotButton="0" quotePrefix="0" xfId="138">
      <alignment horizontal="left" vertical="center" wrapText="1"/>
    </xf>
    <xf numFmtId="0" fontId="33" fillId="0" borderId="17" applyAlignment="1" pivotButton="0" quotePrefix="0" xfId="138">
      <alignment horizontal="center" vertical="center"/>
    </xf>
    <xf numFmtId="0" fontId="33" fillId="7" borderId="17" applyAlignment="1" pivotButton="0" quotePrefix="0" xfId="0">
      <alignment horizontal="center" vertical="center"/>
    </xf>
    <xf numFmtId="9" fontId="35" fillId="8" borderId="17" applyAlignment="1" pivotButton="0" quotePrefix="0" xfId="138">
      <alignment horizontal="center" vertical="top" wrapText="1"/>
    </xf>
    <xf numFmtId="9" fontId="35" fillId="8" borderId="17" applyAlignment="1" pivotButton="0" quotePrefix="0" xfId="138">
      <alignment horizontal="center" vertical="center" wrapText="1"/>
    </xf>
    <xf numFmtId="0" fontId="0" fillId="3" borderId="0" applyAlignment="1" pivotButton="0" quotePrefix="0" xfId="0">
      <alignment horizontal="center"/>
    </xf>
    <xf numFmtId="0" fontId="14" fillId="3" borderId="0" applyAlignment="1" pivotButton="0" quotePrefix="0" xfId="0">
      <alignment vertical="top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41" applyAlignment="1" pivotButton="0" quotePrefix="0" xfId="0">
      <alignment horizontal="center" vertical="center" wrapText="1"/>
    </xf>
    <xf numFmtId="14" fontId="14" fillId="0" borderId="1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/>
    </xf>
    <xf numFmtId="0" fontId="21" fillId="2" borderId="1" applyAlignment="1" pivotButton="0" quotePrefix="0" xfId="1">
      <alignment horizontal="center"/>
    </xf>
    <xf numFmtId="49" fontId="14" fillId="0" borderId="1" applyAlignment="1" pivotButton="0" quotePrefix="0" xfId="1">
      <alignment horizontal="center" vertical="center"/>
    </xf>
    <xf numFmtId="49" fontId="16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7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2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0" fontId="14" fillId="7" borderId="1" applyAlignment="1" pivotButton="0" quotePrefix="0" xfId="0">
      <alignment horizontal="center" vertical="center" wrapText="1"/>
    </xf>
    <xf numFmtId="0" fontId="38" fillId="0" borderId="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8" fillId="2" borderId="43" applyAlignment="1" pivotButton="0" quotePrefix="0" xfId="0">
      <alignment horizontal="center" vertical="center" wrapText="1"/>
    </xf>
    <xf numFmtId="0" fontId="18" fillId="2" borderId="44" applyAlignment="1" pivotButton="0" quotePrefix="0" xfId="0">
      <alignment horizontal="center" vertical="center" wrapText="1"/>
    </xf>
    <xf numFmtId="0" fontId="18" fillId="2" borderId="4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1" applyAlignment="1" pivotButton="0" quotePrefix="0" xfId="1">
      <alignment vertical="center" wrapText="1"/>
    </xf>
    <xf numFmtId="0" fontId="37" fillId="0" borderId="1" applyAlignment="1" pivotButton="0" quotePrefix="0" xfId="1">
      <alignment vertical="center" wrapText="1"/>
    </xf>
    <xf numFmtId="0" fontId="22" fillId="2" borderId="12" applyAlignment="1" pivotButton="0" quotePrefix="0" xfId="1">
      <alignment horizontal="center" vertical="center"/>
    </xf>
    <xf numFmtId="0" fontId="22" fillId="2" borderId="13" applyAlignment="1" pivotButton="0" quotePrefix="0" xfId="1">
      <alignment horizontal="center" vertical="center"/>
    </xf>
    <xf numFmtId="0" fontId="22" fillId="2" borderId="10" applyAlignment="1" pivotButton="0" quotePrefix="0" xfId="1">
      <alignment horizontal="center" vertical="center"/>
    </xf>
    <xf numFmtId="0" fontId="22" fillId="2" borderId="4" applyAlignment="1" pivotButton="0" quotePrefix="0" xfId="1">
      <alignment horizontal="center" vertical="center"/>
    </xf>
    <xf numFmtId="0" fontId="22" fillId="2" borderId="0" applyAlignment="1" pivotButton="0" quotePrefix="0" xfId="1">
      <alignment horizontal="center" vertical="center"/>
    </xf>
    <xf numFmtId="0" fontId="22" fillId="2" borderId="3" applyAlignment="1" pivotButton="0" quotePrefix="0" xfId="1">
      <alignment horizontal="center" vertical="center"/>
    </xf>
    <xf numFmtId="0" fontId="21" fillId="2" borderId="1" applyAlignment="1" pivotButton="0" quotePrefix="0" xfId="1">
      <alignment horizontal="center"/>
    </xf>
    <xf numFmtId="14" fontId="14" fillId="3" borderId="1" applyAlignment="1" pivotButton="0" quotePrefix="0" xfId="1">
      <alignment vertical="center" wrapText="1"/>
    </xf>
    <xf numFmtId="0" fontId="14" fillId="3" borderId="1" applyAlignment="1" pivotButton="0" quotePrefix="0" xfId="1">
      <alignment vertical="center" wrapText="1"/>
    </xf>
    <xf numFmtId="0" fontId="14" fillId="0" borderId="1" applyAlignment="1" pivotButton="0" quotePrefix="0" xfId="1">
      <alignment vertical="center"/>
    </xf>
    <xf numFmtId="0" fontId="36" fillId="0" borderId="36" applyAlignment="1" pivotButton="0" quotePrefix="0" xfId="0">
      <alignment horizontal="center" vertical="center"/>
    </xf>
    <xf numFmtId="0" fontId="36" fillId="0" borderId="37" applyAlignment="1" pivotButton="0" quotePrefix="0" xfId="0">
      <alignment horizontal="center" vertical="center"/>
    </xf>
    <xf numFmtId="0" fontId="36" fillId="0" borderId="38" applyAlignment="1" pivotButton="0" quotePrefix="0" xfId="0">
      <alignment horizontal="center" vertical="center"/>
    </xf>
    <xf numFmtId="0" fontId="36" fillId="0" borderId="33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35" applyAlignment="1" pivotButton="0" quotePrefix="0" xfId="0">
      <alignment horizontal="center" vertical="center"/>
    </xf>
    <xf numFmtId="0" fontId="36" fillId="0" borderId="14" applyAlignment="1" pivotButton="0" quotePrefix="0" xfId="0">
      <alignment horizontal="center" vertical="center"/>
    </xf>
    <xf numFmtId="0" fontId="36" fillId="0" borderId="39" applyAlignment="1" pivotButton="0" quotePrefix="0" xfId="0">
      <alignment horizontal="center" vertical="center"/>
    </xf>
    <xf numFmtId="0" fontId="36" fillId="0" borderId="40" applyAlignment="1" pivotButton="0" quotePrefix="0" xfId="0">
      <alignment horizontal="center" vertical="center"/>
    </xf>
    <xf numFmtId="0" fontId="18" fillId="2" borderId="36" applyAlignment="1" pivotButton="0" quotePrefix="0" xfId="0">
      <alignment horizontal="center" vertical="center" wrapText="1"/>
    </xf>
    <xf numFmtId="0" fontId="18" fillId="2" borderId="37" applyAlignment="1" pivotButton="0" quotePrefix="0" xfId="0">
      <alignment horizontal="center" vertical="center" wrapText="1"/>
    </xf>
    <xf numFmtId="0" fontId="18" fillId="2" borderId="14" applyAlignment="1" pivotButton="0" quotePrefix="0" xfId="0">
      <alignment horizontal="center" vertical="center" wrapText="1"/>
    </xf>
    <xf numFmtId="0" fontId="18" fillId="2" borderId="39" applyAlignment="1" pivotButton="0" quotePrefix="0" xfId="0">
      <alignment horizontal="center" vertical="center" wrapText="1"/>
    </xf>
    <xf numFmtId="14" fontId="38" fillId="0" borderId="16" applyAlignment="1" pivotButton="0" quotePrefix="0" xfId="0">
      <alignment horizontal="left" vertical="center" wrapText="1"/>
    </xf>
    <xf numFmtId="0" fontId="38" fillId="0" borderId="17" applyAlignment="1" pivotButton="0" quotePrefix="0" xfId="0">
      <alignment horizontal="left" vertical="center" wrapText="1"/>
    </xf>
    <xf numFmtId="0" fontId="38" fillId="0" borderId="41" applyAlignment="1" pivotButton="0" quotePrefix="0" xfId="0">
      <alignment horizontal="left" vertical="center" wrapText="1"/>
    </xf>
    <xf numFmtId="0" fontId="18" fillId="2" borderId="12" applyAlignment="1" pivotButton="0" quotePrefix="0" xfId="49">
      <alignment horizontal="center" vertical="center"/>
    </xf>
    <xf numFmtId="0" fontId="18" fillId="2" borderId="13" applyAlignment="1" pivotButton="0" quotePrefix="0" xfId="49">
      <alignment horizontal="center" vertical="center"/>
    </xf>
    <xf numFmtId="0" fontId="18" fillId="2" borderId="10" applyAlignment="1" pivotButton="0" quotePrefix="0" xfId="49">
      <alignment horizontal="center" vertical="center"/>
    </xf>
    <xf numFmtId="0" fontId="18" fillId="2" borderId="4" applyAlignment="1" pivotButton="0" quotePrefix="0" xfId="49">
      <alignment horizontal="center" vertical="center"/>
    </xf>
    <xf numFmtId="0" fontId="18" fillId="2" borderId="0" applyAlignment="1" pivotButton="0" quotePrefix="0" xfId="49">
      <alignment horizontal="center" vertical="center"/>
    </xf>
    <xf numFmtId="0" fontId="18" fillId="2" borderId="3" applyAlignment="1" pivotButton="0" quotePrefix="0" xfId="49">
      <alignment horizontal="center" vertical="center"/>
    </xf>
    <xf numFmtId="0" fontId="18" fillId="2" borderId="5" applyAlignment="1" pivotButton="0" quotePrefix="0" xfId="49">
      <alignment horizontal="center" vertical="center"/>
    </xf>
    <xf numFmtId="0" fontId="18" fillId="2" borderId="6" applyAlignment="1" pivotButton="0" quotePrefix="0" xfId="49">
      <alignment horizontal="center" vertical="center"/>
    </xf>
    <xf numFmtId="0" fontId="18" fillId="2" borderId="7" applyAlignment="1" pivotButton="0" quotePrefix="0" xfId="49">
      <alignment horizontal="center" vertical="center"/>
    </xf>
    <xf numFmtId="0" fontId="18" fillId="2" borderId="11" applyAlignment="1" pivotButton="0" quotePrefix="0" xfId="49">
      <alignment horizontal="center" vertical="center" wrapText="1"/>
    </xf>
    <xf numFmtId="0" fontId="18" fillId="2" borderId="19" applyAlignment="1" pivotButton="0" quotePrefix="0" xfId="49">
      <alignment horizontal="center" vertical="center" wrapText="1"/>
    </xf>
    <xf numFmtId="0" fontId="19" fillId="2" borderId="5" applyAlignment="1" pivotButton="0" quotePrefix="0" xfId="49">
      <alignment horizontal="center" vertical="center" wrapText="1"/>
    </xf>
    <xf numFmtId="0" fontId="18" fillId="2" borderId="8" applyAlignment="1" pivotButton="0" quotePrefix="0" xfId="49">
      <alignment horizontal="center" vertical="center" wrapText="1"/>
    </xf>
    <xf numFmtId="0" fontId="18" fillId="2" borderId="15" applyAlignment="1" pivotButton="0" quotePrefix="0" xfId="49">
      <alignment horizontal="center" vertical="center" wrapText="1"/>
    </xf>
    <xf numFmtId="0" fontId="18" fillId="2" borderId="9" applyAlignment="1" pivotButton="0" quotePrefix="0" xfId="49">
      <alignment horizontal="center" vertical="center" wrapText="1"/>
    </xf>
    <xf numFmtId="0" fontId="18" fillId="2" borderId="7" applyAlignment="1" pivotButton="0" quotePrefix="0" xfId="49">
      <alignment horizontal="center" vertical="center" wrapText="1"/>
    </xf>
    <xf numFmtId="0" fontId="18" fillId="2" borderId="12" applyAlignment="1" pivotButton="0" quotePrefix="0" xfId="49">
      <alignment horizontal="center"/>
    </xf>
    <xf numFmtId="0" fontId="19" fillId="2" borderId="13" applyAlignment="1" pivotButton="0" quotePrefix="0" xfId="49">
      <alignment horizontal="center"/>
    </xf>
    <xf numFmtId="0" fontId="19" fillId="2" borderId="10" applyAlignment="1" pivotButton="0" quotePrefix="0" xfId="49">
      <alignment horizontal="center"/>
    </xf>
    <xf numFmtId="0" fontId="18" fillId="2" borderId="8" applyAlignment="1" pivotButton="0" quotePrefix="0" xfId="49">
      <alignment horizontal="center"/>
    </xf>
    <xf numFmtId="0" fontId="18" fillId="2" borderId="20" applyAlignment="1" pivotButton="0" quotePrefix="0" xfId="49">
      <alignment horizontal="center"/>
    </xf>
    <xf numFmtId="0" fontId="18" fillId="2" borderId="21" applyAlignment="1" pivotButton="0" quotePrefix="0" xfId="49">
      <alignment horizontal="center"/>
    </xf>
    <xf numFmtId="0" fontId="18" fillId="2" borderId="15" applyAlignment="1" pivotButton="0" quotePrefix="0" xfId="49">
      <alignment horizontal="center"/>
    </xf>
    <xf numFmtId="0" fontId="18" fillId="2" borderId="9" applyAlignment="1" pivotButton="0" quotePrefix="0" xfId="49">
      <alignment horizontal="center"/>
    </xf>
    <xf numFmtId="0" fontId="22" fillId="2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7" pivotButton="0" quotePrefix="0" xfId="0"/>
    <xf numFmtId="0" fontId="36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14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4" fontId="38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0" borderId="1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8" fillId="2" borderId="18" applyAlignment="1" pivotButton="0" quotePrefix="0" xfId="49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9" pivotButton="0" quotePrefix="0" xfId="0"/>
    <xf numFmtId="0" fontId="18" fillId="2" borderId="11" applyAlignment="1" pivotButton="0" quotePrefix="0" xfId="49">
      <alignment horizontal="center"/>
    </xf>
    <xf numFmtId="0" fontId="0" fillId="0" borderId="19" pivotButton="0" quotePrefix="0" xfId="0"/>
    <xf numFmtId="0" fontId="18" fillId="2" borderId="47" applyAlignment="1" pivotButton="0" quotePrefix="0" xfId="49">
      <alignment horizontal="center"/>
    </xf>
    <xf numFmtId="0" fontId="0" fillId="0" borderId="20" pivotButton="0" quotePrefix="0" xfId="0"/>
    <xf numFmtId="0" fontId="18" fillId="2" borderId="18" applyAlignment="1" pivotButton="0" quotePrefix="0" xfId="49">
      <alignment horizontal="center"/>
    </xf>
    <xf numFmtId="0" fontId="18" fillId="2" borderId="45" applyAlignment="1" pivotButton="0" quotePrefix="0" xfId="49">
      <alignment horizontal="center"/>
    </xf>
  </cellXfs>
  <cellStyles count="139">
    <cellStyle name="Normal" xfId="0" builtinId="0"/>
    <cellStyle name="Normal 2 3" xfId="1"/>
    <cellStyle name="Normal 2" xfId="2"/>
    <cellStyle name="Porcentaje 2" xfId="3"/>
    <cellStyle name="Moneda 2" xfId="4"/>
    <cellStyle name="Millares 2" xfId="5"/>
    <cellStyle name="Normal 3" xfId="6"/>
    <cellStyle name="Porcentaje 3" xfId="7"/>
    <cellStyle name="Moneda 3" xfId="8"/>
    <cellStyle name="Millares 3" xfId="9"/>
    <cellStyle name="Normal 4" xfId="10"/>
    <cellStyle name="Normal 5" xfId="11"/>
    <cellStyle name="Normal 2 2" xfId="12"/>
    <cellStyle name="Normal 4 2" xfId="13"/>
    <cellStyle name="Normal 5 2" xfId="14"/>
    <cellStyle name="Comma [0]_Worksheet in L-0016" xfId="15"/>
    <cellStyle name="Millares 2 2" xfId="16"/>
    <cellStyle name="Millares 4" xfId="17"/>
    <cellStyle name="Millares 5" xfId="18"/>
    <cellStyle name="Normal 6" xfId="19"/>
    <cellStyle name="Porcentual 2" xfId="20"/>
    <cellStyle name="Normal 7" xfId="21"/>
    <cellStyle name="Millares 6" xfId="22"/>
    <cellStyle name="Normal 2 4" xfId="23"/>
    <cellStyle name="Normal 10" xfId="24"/>
    <cellStyle name="Normal 8 2" xfId="25"/>
    <cellStyle name="Porcentaje 4" xfId="26"/>
    <cellStyle name="Normal 8" xfId="27"/>
    <cellStyle name="Normal 2 5" xfId="28"/>
    <cellStyle name="Normal 11" xfId="29"/>
    <cellStyle name="Normal 9" xfId="30"/>
    <cellStyle name="Normal 2 3 2" xfId="31"/>
    <cellStyle name="Normal 2 6" xfId="32"/>
    <cellStyle name="Porcentaje 2 2" xfId="33"/>
    <cellStyle name="Moneda 2 2" xfId="34"/>
    <cellStyle name="Millares 2 3" xfId="35"/>
    <cellStyle name="Normal 3 2" xfId="36"/>
    <cellStyle name="Porcentaje 3 2" xfId="37"/>
    <cellStyle name="Moneda 3 2" xfId="38"/>
    <cellStyle name="Millares 3 2" xfId="39"/>
    <cellStyle name="Normal 4 3" xfId="40"/>
    <cellStyle name="Normal 5 3" xfId="41"/>
    <cellStyle name="Normal 2 2 2" xfId="42"/>
    <cellStyle name="Normal 4 2 2" xfId="43"/>
    <cellStyle name="Normal 5 2 2" xfId="44"/>
    <cellStyle name="Millares 4 2" xfId="45"/>
    <cellStyle name="Normal 7 2" xfId="46"/>
    <cellStyle name="Millares 6 2" xfId="47"/>
    <cellStyle name="Normal 10 2" xfId="48"/>
    <cellStyle name="Normal 8 2 2" xfId="49"/>
    <cellStyle name="Normal 8 3" xfId="50"/>
    <cellStyle name="Normal 10 3" xfId="51"/>
    <cellStyle name="Millares 2 3 2" xfId="52"/>
    <cellStyle name="Millares 2 3 3" xfId="53"/>
    <cellStyle name="Millares 2 4" xfId="54"/>
    <cellStyle name="Millares 2 5" xfId="55"/>
    <cellStyle name="Millares 2 6" xfId="56"/>
    <cellStyle name="Millares 3 2 2" xfId="57"/>
    <cellStyle name="Millares 3 2 3" xfId="58"/>
    <cellStyle name="Millares 3 3" xfId="59"/>
    <cellStyle name="Millares 3 4" xfId="60"/>
    <cellStyle name="Millares 4 2 2" xfId="61"/>
    <cellStyle name="Millares 4 2 3" xfId="62"/>
    <cellStyle name="Millares 4 3" xfId="63"/>
    <cellStyle name="Millares 4 4" xfId="64"/>
    <cellStyle name="Millares 6 2 2" xfId="65"/>
    <cellStyle name="Millares 6 2 3" xfId="66"/>
    <cellStyle name="Millares 6 3" xfId="67"/>
    <cellStyle name="Millares 6 4" xfId="68"/>
    <cellStyle name="Moneda 2 2 2" xfId="69"/>
    <cellStyle name="Moneda 2 2 3" xfId="70"/>
    <cellStyle name="Moneda 2 3" xfId="71"/>
    <cellStyle name="Moneda 2 4" xfId="72"/>
    <cellStyle name="Moneda 3 2 2" xfId="73"/>
    <cellStyle name="Moneda 3 2 3" xfId="74"/>
    <cellStyle name="Moneda 3 3" xfId="75"/>
    <cellStyle name="Moneda 3 4" xfId="76"/>
    <cellStyle name="Moneda 4" xfId="77"/>
    <cellStyle name="Moneda 5" xfId="78"/>
    <cellStyle name="Normal 10 2 2" xfId="79"/>
    <cellStyle name="Normal 10 2 3" xfId="80"/>
    <cellStyle name="Normal 10 4" xfId="81"/>
    <cellStyle name="Normal 11 2" xfId="82"/>
    <cellStyle name="Normal 11 3" xfId="83"/>
    <cellStyle name="Normal 12" xfId="84"/>
    <cellStyle name="Normal 12 2" xfId="85"/>
    <cellStyle name="Normal 12 3" xfId="86"/>
    <cellStyle name="Normal 2 2 2 2" xfId="87"/>
    <cellStyle name="Normal 2 2 2 3" xfId="88"/>
    <cellStyle name="Normal 2 2 3" xfId="89"/>
    <cellStyle name="Normal 2 2 4" xfId="90"/>
    <cellStyle name="Normal 2 3 2 2" xfId="91"/>
    <cellStyle name="Normal 2 3 2 3" xfId="92"/>
    <cellStyle name="Normal 2 3 3" xfId="93"/>
    <cellStyle name="Normal 2 3 4" xfId="94"/>
    <cellStyle name="Normal 2 6 2" xfId="95"/>
    <cellStyle name="Normal 2 6 3" xfId="96"/>
    <cellStyle name="Normal 3 2 2" xfId="97"/>
    <cellStyle name="Normal 3 2 3" xfId="98"/>
    <cellStyle name="Normal 3 3" xfId="99"/>
    <cellStyle name="Normal 3 4" xfId="100"/>
    <cellStyle name="Normal 4 2 2 2" xfId="101"/>
    <cellStyle name="Normal 4 2 2 3" xfId="102"/>
    <cellStyle name="Normal 4 2 3" xfId="103"/>
    <cellStyle name="Normal 4 2 4" xfId="104"/>
    <cellStyle name="Normal 4 3 2" xfId="105"/>
    <cellStyle name="Normal 4 3 3" xfId="106"/>
    <cellStyle name="Normal 4 4" xfId="107"/>
    <cellStyle name="Normal 4 5" xfId="108"/>
    <cellStyle name="Normal 4 6" xfId="109"/>
    <cellStyle name="Normal 5 2 2 2" xfId="110"/>
    <cellStyle name="Normal 5 2 2 3" xfId="111"/>
    <cellStyle name="Normal 5 2 3" xfId="112"/>
    <cellStyle name="Normal 5 2 4" xfId="113"/>
    <cellStyle name="Normal 5 3 2" xfId="114"/>
    <cellStyle name="Normal 5 3 3" xfId="115"/>
    <cellStyle name="Normal 5 4" xfId="116"/>
    <cellStyle name="Normal 5 5" xfId="117"/>
    <cellStyle name="Normal 7 2 2" xfId="118"/>
    <cellStyle name="Normal 7 2 3" xfId="119"/>
    <cellStyle name="Normal 7 3" xfId="120"/>
    <cellStyle name="Normal 7 4" xfId="121"/>
    <cellStyle name="Normal 8 3 2" xfId="122"/>
    <cellStyle name="Normal 8 3 3" xfId="123"/>
    <cellStyle name="Normal 8 4" xfId="124"/>
    <cellStyle name="Normal 8 5" xfId="125"/>
    <cellStyle name="Porcentaje 2 2 2" xfId="126"/>
    <cellStyle name="Porcentaje 2 2 3" xfId="127"/>
    <cellStyle name="Porcentaje 2 3" xfId="128"/>
    <cellStyle name="Porcentaje 2 4" xfId="129"/>
    <cellStyle name="Porcentaje 3 2 2" xfId="130"/>
    <cellStyle name="Porcentaje 3 2 3" xfId="131"/>
    <cellStyle name="Porcentaje 3 3" xfId="132"/>
    <cellStyle name="Porcentaje 3 4" xfId="133"/>
    <cellStyle name="Notas 2" xfId="134"/>
    <cellStyle name="Porcentaje 5" xfId="135"/>
    <cellStyle name="Porcentaje 5 2" xfId="136"/>
    <cellStyle name="Porcentaje 6" xfId="137"/>
    <cellStyle name="Normal 13" xfId="13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B1:F13"/>
  <sheetViews>
    <sheetView zoomScale="90" zoomScaleNormal="90" workbookViewId="0">
      <selection activeCell="E11" sqref="E11:F11"/>
    </sheetView>
  </sheetViews>
  <sheetFormatPr baseColWidth="10" defaultColWidth="11.44140625" defaultRowHeight="13.2"/>
  <cols>
    <col width="15.33203125" customWidth="1" min="2" max="2"/>
    <col width="20.88671875" customWidth="1" min="3" max="3"/>
    <col width="19.109375" customWidth="1" min="4" max="4"/>
    <col width="35.109375" customWidth="1" min="6" max="6"/>
    <col width="15.33203125" customWidth="1" min="253" max="253"/>
    <col width="20.88671875" customWidth="1" min="254" max="254"/>
    <col width="19.109375" customWidth="1" min="255" max="255"/>
    <col width="35.109375" customWidth="1" min="257" max="257"/>
    <col width="15.33203125" customWidth="1" min="509" max="509"/>
    <col width="20.88671875" customWidth="1" min="510" max="510"/>
    <col width="19.109375" customWidth="1" min="511" max="511"/>
    <col width="35.109375" customWidth="1" min="513" max="513"/>
    <col width="15.33203125" customWidth="1" min="765" max="765"/>
    <col width="20.88671875" customWidth="1" min="766" max="766"/>
    <col width="19.109375" customWidth="1" min="767" max="767"/>
    <col width="35.109375" customWidth="1" min="769" max="769"/>
    <col width="15.33203125" customWidth="1" min="1021" max="1021"/>
    <col width="20.88671875" customWidth="1" min="1022" max="1022"/>
    <col width="19.109375" customWidth="1" min="1023" max="1023"/>
    <col width="35.109375" customWidth="1" min="1025" max="1025"/>
    <col width="15.33203125" customWidth="1" min="1277" max="1277"/>
    <col width="20.88671875" customWidth="1" min="1278" max="1278"/>
    <col width="19.109375" customWidth="1" min="1279" max="1279"/>
    <col width="35.109375" customWidth="1" min="1281" max="1281"/>
    <col width="15.33203125" customWidth="1" min="1533" max="1533"/>
    <col width="20.88671875" customWidth="1" min="1534" max="1534"/>
    <col width="19.109375" customWidth="1" min="1535" max="1535"/>
    <col width="35.109375" customWidth="1" min="1537" max="1537"/>
    <col width="15.33203125" customWidth="1" min="1789" max="1789"/>
    <col width="20.88671875" customWidth="1" min="1790" max="1790"/>
    <col width="19.109375" customWidth="1" min="1791" max="1791"/>
    <col width="35.109375" customWidth="1" min="1793" max="1793"/>
    <col width="15.33203125" customWidth="1" min="2045" max="2045"/>
    <col width="20.88671875" customWidth="1" min="2046" max="2046"/>
    <col width="19.109375" customWidth="1" min="2047" max="2047"/>
    <col width="35.109375" customWidth="1" min="2049" max="2049"/>
    <col width="15.33203125" customWidth="1" min="2301" max="2301"/>
    <col width="20.88671875" customWidth="1" min="2302" max="2302"/>
    <col width="19.109375" customWidth="1" min="2303" max="2303"/>
    <col width="35.109375" customWidth="1" min="2305" max="2305"/>
    <col width="15.33203125" customWidth="1" min="2557" max="2557"/>
    <col width="20.88671875" customWidth="1" min="2558" max="2558"/>
    <col width="19.109375" customWidth="1" min="2559" max="2559"/>
    <col width="35.109375" customWidth="1" min="2561" max="2561"/>
    <col width="15.33203125" customWidth="1" min="2813" max="2813"/>
    <col width="20.88671875" customWidth="1" min="2814" max="2814"/>
    <col width="19.109375" customWidth="1" min="2815" max="2815"/>
    <col width="35.109375" customWidth="1" min="2817" max="2817"/>
    <col width="15.33203125" customWidth="1" min="3069" max="3069"/>
    <col width="20.88671875" customWidth="1" min="3070" max="3070"/>
    <col width="19.109375" customWidth="1" min="3071" max="3071"/>
    <col width="35.109375" customWidth="1" min="3073" max="3073"/>
    <col width="15.33203125" customWidth="1" min="3325" max="3325"/>
    <col width="20.88671875" customWidth="1" min="3326" max="3326"/>
    <col width="19.109375" customWidth="1" min="3327" max="3327"/>
    <col width="35.109375" customWidth="1" min="3329" max="3329"/>
    <col width="15.33203125" customWidth="1" min="3581" max="3581"/>
    <col width="20.88671875" customWidth="1" min="3582" max="3582"/>
    <col width="19.109375" customWidth="1" min="3583" max="3583"/>
    <col width="35.109375" customWidth="1" min="3585" max="3585"/>
    <col width="15.33203125" customWidth="1" min="3837" max="3837"/>
    <col width="20.88671875" customWidth="1" min="3838" max="3838"/>
    <col width="19.109375" customWidth="1" min="3839" max="3839"/>
    <col width="35.109375" customWidth="1" min="3841" max="3841"/>
    <col width="15.33203125" customWidth="1" min="4093" max="4093"/>
    <col width="20.88671875" customWidth="1" min="4094" max="4094"/>
    <col width="19.109375" customWidth="1" min="4095" max="4095"/>
    <col width="35.109375" customWidth="1" min="4097" max="4097"/>
    <col width="15.33203125" customWidth="1" min="4349" max="4349"/>
    <col width="20.88671875" customWidth="1" min="4350" max="4350"/>
    <col width="19.109375" customWidth="1" min="4351" max="4351"/>
    <col width="35.109375" customWidth="1" min="4353" max="4353"/>
    <col width="15.33203125" customWidth="1" min="4605" max="4605"/>
    <col width="20.88671875" customWidth="1" min="4606" max="4606"/>
    <col width="19.109375" customWidth="1" min="4607" max="4607"/>
    <col width="35.109375" customWidth="1" min="4609" max="4609"/>
    <col width="15.33203125" customWidth="1" min="4861" max="4861"/>
    <col width="20.88671875" customWidth="1" min="4862" max="4862"/>
    <col width="19.109375" customWidth="1" min="4863" max="4863"/>
    <col width="35.109375" customWidth="1" min="4865" max="4865"/>
    <col width="15.33203125" customWidth="1" min="5117" max="5117"/>
    <col width="20.88671875" customWidth="1" min="5118" max="5118"/>
    <col width="19.109375" customWidth="1" min="5119" max="5119"/>
    <col width="35.109375" customWidth="1" min="5121" max="5121"/>
    <col width="15.33203125" customWidth="1" min="5373" max="5373"/>
    <col width="20.88671875" customWidth="1" min="5374" max="5374"/>
    <col width="19.109375" customWidth="1" min="5375" max="5375"/>
    <col width="35.109375" customWidth="1" min="5377" max="5377"/>
    <col width="15.33203125" customWidth="1" min="5629" max="5629"/>
    <col width="20.88671875" customWidth="1" min="5630" max="5630"/>
    <col width="19.109375" customWidth="1" min="5631" max="5631"/>
    <col width="35.109375" customWidth="1" min="5633" max="5633"/>
    <col width="15.33203125" customWidth="1" min="5885" max="5885"/>
    <col width="20.88671875" customWidth="1" min="5886" max="5886"/>
    <col width="19.109375" customWidth="1" min="5887" max="5887"/>
    <col width="35.109375" customWidth="1" min="5889" max="5889"/>
    <col width="15.33203125" customWidth="1" min="6141" max="6141"/>
    <col width="20.88671875" customWidth="1" min="6142" max="6142"/>
    <col width="19.109375" customWidth="1" min="6143" max="6143"/>
    <col width="35.109375" customWidth="1" min="6145" max="6145"/>
    <col width="15.33203125" customWidth="1" min="6397" max="6397"/>
    <col width="20.88671875" customWidth="1" min="6398" max="6398"/>
    <col width="19.109375" customWidth="1" min="6399" max="6399"/>
    <col width="35.109375" customWidth="1" min="6401" max="6401"/>
    <col width="15.33203125" customWidth="1" min="6653" max="6653"/>
    <col width="20.88671875" customWidth="1" min="6654" max="6654"/>
    <col width="19.109375" customWidth="1" min="6655" max="6655"/>
    <col width="35.109375" customWidth="1" min="6657" max="6657"/>
    <col width="15.33203125" customWidth="1" min="6909" max="6909"/>
    <col width="20.88671875" customWidth="1" min="6910" max="6910"/>
    <col width="19.109375" customWidth="1" min="6911" max="6911"/>
    <col width="35.109375" customWidth="1" min="6913" max="6913"/>
    <col width="15.33203125" customWidth="1" min="7165" max="7165"/>
    <col width="20.88671875" customWidth="1" min="7166" max="7166"/>
    <col width="19.109375" customWidth="1" min="7167" max="7167"/>
    <col width="35.109375" customWidth="1" min="7169" max="7169"/>
    <col width="15.33203125" customWidth="1" min="7421" max="7421"/>
    <col width="20.88671875" customWidth="1" min="7422" max="7422"/>
    <col width="19.109375" customWidth="1" min="7423" max="7423"/>
    <col width="35.109375" customWidth="1" min="7425" max="7425"/>
    <col width="15.33203125" customWidth="1" min="7677" max="7677"/>
    <col width="20.88671875" customWidth="1" min="7678" max="7678"/>
    <col width="19.109375" customWidth="1" min="7679" max="7679"/>
    <col width="35.109375" customWidth="1" min="7681" max="7681"/>
    <col width="15.33203125" customWidth="1" min="7933" max="7933"/>
    <col width="20.88671875" customWidth="1" min="7934" max="7934"/>
    <col width="19.109375" customWidth="1" min="7935" max="7935"/>
    <col width="35.109375" customWidth="1" min="7937" max="7937"/>
    <col width="15.33203125" customWidth="1" min="8189" max="8189"/>
    <col width="20.88671875" customWidth="1" min="8190" max="8190"/>
    <col width="19.109375" customWidth="1" min="8191" max="8191"/>
    <col width="35.109375" customWidth="1" min="8193" max="8193"/>
    <col width="15.33203125" customWidth="1" min="8445" max="8445"/>
    <col width="20.88671875" customWidth="1" min="8446" max="8446"/>
    <col width="19.109375" customWidth="1" min="8447" max="8447"/>
    <col width="35.109375" customWidth="1" min="8449" max="8449"/>
    <col width="15.33203125" customWidth="1" min="8701" max="8701"/>
    <col width="20.88671875" customWidth="1" min="8702" max="8702"/>
    <col width="19.109375" customWidth="1" min="8703" max="8703"/>
    <col width="35.109375" customWidth="1" min="8705" max="8705"/>
    <col width="15.33203125" customWidth="1" min="8957" max="8957"/>
    <col width="20.88671875" customWidth="1" min="8958" max="8958"/>
    <col width="19.109375" customWidth="1" min="8959" max="8959"/>
    <col width="35.109375" customWidth="1" min="8961" max="8961"/>
    <col width="15.33203125" customWidth="1" min="9213" max="9213"/>
    <col width="20.88671875" customWidth="1" min="9214" max="9214"/>
    <col width="19.109375" customWidth="1" min="9215" max="9215"/>
    <col width="35.109375" customWidth="1" min="9217" max="9217"/>
    <col width="15.33203125" customWidth="1" min="9469" max="9469"/>
    <col width="20.88671875" customWidth="1" min="9470" max="9470"/>
    <col width="19.109375" customWidth="1" min="9471" max="9471"/>
    <col width="35.109375" customWidth="1" min="9473" max="9473"/>
    <col width="15.33203125" customWidth="1" min="9725" max="9725"/>
    <col width="20.88671875" customWidth="1" min="9726" max="9726"/>
    <col width="19.109375" customWidth="1" min="9727" max="9727"/>
    <col width="35.109375" customWidth="1" min="9729" max="9729"/>
    <col width="15.33203125" customWidth="1" min="9981" max="9981"/>
    <col width="20.88671875" customWidth="1" min="9982" max="9982"/>
    <col width="19.109375" customWidth="1" min="9983" max="9983"/>
    <col width="35.109375" customWidth="1" min="9985" max="9985"/>
    <col width="15.33203125" customWidth="1" min="10237" max="10237"/>
    <col width="20.88671875" customWidth="1" min="10238" max="10238"/>
    <col width="19.109375" customWidth="1" min="10239" max="10239"/>
    <col width="35.109375" customWidth="1" min="10241" max="10241"/>
    <col width="15.33203125" customWidth="1" min="10493" max="10493"/>
    <col width="20.88671875" customWidth="1" min="10494" max="10494"/>
    <col width="19.109375" customWidth="1" min="10495" max="10495"/>
    <col width="35.109375" customWidth="1" min="10497" max="10497"/>
    <col width="15.33203125" customWidth="1" min="10749" max="10749"/>
    <col width="20.88671875" customWidth="1" min="10750" max="10750"/>
    <col width="19.109375" customWidth="1" min="10751" max="10751"/>
    <col width="35.109375" customWidth="1" min="10753" max="10753"/>
    <col width="15.33203125" customWidth="1" min="11005" max="11005"/>
    <col width="20.88671875" customWidth="1" min="11006" max="11006"/>
    <col width="19.109375" customWidth="1" min="11007" max="11007"/>
    <col width="35.109375" customWidth="1" min="11009" max="11009"/>
    <col width="15.33203125" customWidth="1" min="11261" max="11261"/>
    <col width="20.88671875" customWidth="1" min="11262" max="11262"/>
    <col width="19.109375" customWidth="1" min="11263" max="11263"/>
    <col width="35.109375" customWidth="1" min="11265" max="11265"/>
    <col width="15.33203125" customWidth="1" min="11517" max="11517"/>
    <col width="20.88671875" customWidth="1" min="11518" max="11518"/>
    <col width="19.109375" customWidth="1" min="11519" max="11519"/>
    <col width="35.109375" customWidth="1" min="11521" max="11521"/>
    <col width="15.33203125" customWidth="1" min="11773" max="11773"/>
    <col width="20.88671875" customWidth="1" min="11774" max="11774"/>
    <col width="19.109375" customWidth="1" min="11775" max="11775"/>
    <col width="35.109375" customWidth="1" min="11777" max="11777"/>
    <col width="15.33203125" customWidth="1" min="12029" max="12029"/>
    <col width="20.88671875" customWidth="1" min="12030" max="12030"/>
    <col width="19.109375" customWidth="1" min="12031" max="12031"/>
    <col width="35.109375" customWidth="1" min="12033" max="12033"/>
    <col width="15.33203125" customWidth="1" min="12285" max="12285"/>
    <col width="20.88671875" customWidth="1" min="12286" max="12286"/>
    <col width="19.109375" customWidth="1" min="12287" max="12287"/>
    <col width="35.109375" customWidth="1" min="12289" max="12289"/>
    <col width="15.33203125" customWidth="1" min="12541" max="12541"/>
    <col width="20.88671875" customWidth="1" min="12542" max="12542"/>
    <col width="19.109375" customWidth="1" min="12543" max="12543"/>
    <col width="35.109375" customWidth="1" min="12545" max="12545"/>
    <col width="15.33203125" customWidth="1" min="12797" max="12797"/>
    <col width="20.88671875" customWidth="1" min="12798" max="12798"/>
    <col width="19.109375" customWidth="1" min="12799" max="12799"/>
    <col width="35.109375" customWidth="1" min="12801" max="12801"/>
    <col width="15.33203125" customWidth="1" min="13053" max="13053"/>
    <col width="20.88671875" customWidth="1" min="13054" max="13054"/>
    <col width="19.109375" customWidth="1" min="13055" max="13055"/>
    <col width="35.109375" customWidth="1" min="13057" max="13057"/>
    <col width="15.33203125" customWidth="1" min="13309" max="13309"/>
    <col width="20.88671875" customWidth="1" min="13310" max="13310"/>
    <col width="19.109375" customWidth="1" min="13311" max="13311"/>
    <col width="35.109375" customWidth="1" min="13313" max="13313"/>
    <col width="15.33203125" customWidth="1" min="13565" max="13565"/>
    <col width="20.88671875" customWidth="1" min="13566" max="13566"/>
    <col width="19.109375" customWidth="1" min="13567" max="13567"/>
    <col width="35.109375" customWidth="1" min="13569" max="13569"/>
    <col width="15.33203125" customWidth="1" min="13821" max="13821"/>
    <col width="20.88671875" customWidth="1" min="13822" max="13822"/>
    <col width="19.109375" customWidth="1" min="13823" max="13823"/>
    <col width="35.109375" customWidth="1" min="13825" max="13825"/>
    <col width="15.33203125" customWidth="1" min="14077" max="14077"/>
    <col width="20.88671875" customWidth="1" min="14078" max="14078"/>
    <col width="19.109375" customWidth="1" min="14079" max="14079"/>
    <col width="35.109375" customWidth="1" min="14081" max="14081"/>
    <col width="15.33203125" customWidth="1" min="14333" max="14333"/>
    <col width="20.88671875" customWidth="1" min="14334" max="14334"/>
    <col width="19.109375" customWidth="1" min="14335" max="14335"/>
    <col width="35.109375" customWidth="1" min="14337" max="14337"/>
    <col width="15.33203125" customWidth="1" min="14589" max="14589"/>
    <col width="20.88671875" customWidth="1" min="14590" max="14590"/>
    <col width="19.109375" customWidth="1" min="14591" max="14591"/>
    <col width="35.109375" customWidth="1" min="14593" max="14593"/>
    <col width="15.33203125" customWidth="1" min="14845" max="14845"/>
    <col width="20.88671875" customWidth="1" min="14846" max="14846"/>
    <col width="19.109375" customWidth="1" min="14847" max="14847"/>
    <col width="35.109375" customWidth="1" min="14849" max="14849"/>
    <col width="15.33203125" customWidth="1" min="15101" max="15101"/>
    <col width="20.88671875" customWidth="1" min="15102" max="15102"/>
    <col width="19.109375" customWidth="1" min="15103" max="15103"/>
    <col width="35.109375" customWidth="1" min="15105" max="15105"/>
    <col width="15.33203125" customWidth="1" min="15357" max="15357"/>
    <col width="20.88671875" customWidth="1" min="15358" max="15358"/>
    <col width="19.109375" customWidth="1" min="15359" max="15359"/>
    <col width="35.109375" customWidth="1" min="15361" max="15361"/>
    <col width="15.33203125" customWidth="1" min="15613" max="15613"/>
    <col width="20.88671875" customWidth="1" min="15614" max="15614"/>
    <col width="19.109375" customWidth="1" min="15615" max="15615"/>
    <col width="35.109375" customWidth="1" min="15617" max="15617"/>
    <col width="15.33203125" customWidth="1" min="15869" max="15869"/>
    <col width="20.88671875" customWidth="1" min="15870" max="15870"/>
    <col width="19.109375" customWidth="1" min="15871" max="15871"/>
    <col width="35.109375" customWidth="1" min="15873" max="15873"/>
    <col width="15.33203125" customWidth="1" min="16125" max="16125"/>
    <col width="20.88671875" customWidth="1" min="16126" max="16126"/>
    <col width="19.109375" customWidth="1" min="16127" max="16127"/>
    <col width="35.109375" customWidth="1" min="16129" max="16129"/>
  </cols>
  <sheetData>
    <row r="1">
      <c r="B1" s="16" t="inlineStr">
        <is>
          <t>Pass:plantilla</t>
        </is>
      </c>
    </row>
    <row r="2" ht="13.8" customHeight="1" thickBot="1"/>
    <row r="3">
      <c r="B3" s="151" t="inlineStr">
        <is>
          <t>Control de Cambios Documento</t>
        </is>
      </c>
      <c r="C3" s="152" t="n"/>
      <c r="D3" s="152" t="n"/>
      <c r="E3" s="152" t="n"/>
      <c r="F3" s="153" t="n"/>
    </row>
    <row r="4">
      <c r="B4" s="154" t="n"/>
      <c r="F4" s="155" t="n"/>
    </row>
    <row r="5">
      <c r="B5" s="154" t="n"/>
      <c r="F5" s="155" t="n"/>
    </row>
    <row r="6" ht="14.4" customHeight="1">
      <c r="B6" s="107" t="inlineStr">
        <is>
          <t>Versión</t>
        </is>
      </c>
      <c r="C6" s="107" t="inlineStr">
        <is>
          <t>Autor</t>
        </is>
      </c>
      <c r="D6" s="107" t="inlineStr">
        <is>
          <t>Fecha</t>
        </is>
      </c>
      <c r="E6" s="107" t="inlineStr">
        <is>
          <t>Descripción</t>
        </is>
      </c>
      <c r="F6" s="156" t="n"/>
    </row>
    <row r="7" ht="12.75" customHeight="1">
      <c r="B7" s="81" t="inlineStr">
        <is>
          <t>01</t>
        </is>
      </c>
      <c r="C7" s="79" t="inlineStr">
        <is>
          <t>David Calle</t>
        </is>
      </c>
      <c r="D7" s="60" t="n">
        <v>45945</v>
      </c>
      <c r="E7" s="108" t="inlineStr">
        <is>
          <t>Diseño de Casos de Prueba</t>
        </is>
      </c>
      <c r="F7" s="156" t="n"/>
    </row>
    <row r="8">
      <c r="B8" s="82" t="n"/>
      <c r="C8" s="79" t="n"/>
      <c r="D8" s="78" t="n"/>
      <c r="E8" s="110" t="n"/>
      <c r="F8" s="156" t="n"/>
    </row>
    <row r="9">
      <c r="B9" s="82" t="n"/>
      <c r="C9" s="79" t="n"/>
      <c r="D9" s="78" t="n"/>
      <c r="E9" s="99" t="n"/>
      <c r="F9" s="156" t="n"/>
    </row>
    <row r="10">
      <c r="B10" s="82" t="n"/>
      <c r="C10" s="79" t="n"/>
      <c r="D10" s="78" t="n"/>
      <c r="E10" s="99" t="n"/>
      <c r="F10" s="156" t="n"/>
    </row>
    <row r="11">
      <c r="B11" s="82" t="n"/>
      <c r="C11" s="79" t="n"/>
      <c r="D11" s="78" t="n"/>
      <c r="E11" s="99" t="n"/>
      <c r="F11" s="156" t="n"/>
    </row>
    <row r="12">
      <c r="B12" s="82" t="n"/>
      <c r="C12" s="79" t="n"/>
      <c r="D12" s="78" t="n"/>
      <c r="E12" s="99" t="n"/>
      <c r="F12" s="156" t="n"/>
    </row>
    <row r="13">
      <c r="B13" s="82" t="n"/>
      <c r="C13" s="79" t="n"/>
      <c r="D13" s="78" t="n"/>
      <c r="E13" s="99" t="n"/>
      <c r="F13" s="156" t="n"/>
    </row>
  </sheetData>
  <mergeCells count="9">
    <mergeCell ref="E12:F12"/>
    <mergeCell ref="E6:F6"/>
    <mergeCell ref="E10:F10"/>
    <mergeCell ref="E7:F7"/>
    <mergeCell ref="E11:F11"/>
    <mergeCell ref="B3:F5"/>
    <mergeCell ref="E13:F13"/>
    <mergeCell ref="E9:F9"/>
    <mergeCell ref="E8:F8"/>
  </mergeCells>
  <dataValidations count="1">
    <dataValidation sqref="E7:F7" showDropDown="0" showInputMessage="1" showErrorMessage="1" allowBlank="1" type="list">
      <formula1>"Diseño de Casos de Prueba, Refinamiento de Casos De Prueba,Ejecución de Casos de Prueba"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EW127"/>
  <sheetViews>
    <sheetView zoomScale="80" zoomScaleNormal="8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K72" sqref="K72"/>
    </sheetView>
  </sheetViews>
  <sheetFormatPr baseColWidth="10" defaultColWidth="11.44140625" defaultRowHeight="13.2"/>
  <cols>
    <col width="119.5546875" bestFit="1" customWidth="1" min="1" max="1"/>
    <col width="5.109375" customWidth="1" min="2" max="38"/>
    <col width="5.6640625" customWidth="1" min="39" max="42"/>
    <col width="5.5546875" customWidth="1" min="43" max="56"/>
    <col width="5.5546875" customWidth="1" style="30" min="57" max="64"/>
    <col width="6" customWidth="1" style="30" min="65" max="65"/>
    <col width="6.33203125" bestFit="1" customWidth="1" style="30" min="66" max="68"/>
    <col width="6.33203125" customWidth="1" style="30" min="69" max="69"/>
    <col width="6.33203125" bestFit="1" customWidth="1" style="30" min="70" max="70"/>
    <col width="6.33203125" customWidth="1" style="30" min="71" max="72"/>
    <col width="6.33203125" bestFit="1" customWidth="1" style="30" min="73" max="73"/>
    <col width="6.33203125" customWidth="1" style="30" min="74" max="75"/>
    <col width="6.33203125" bestFit="1" customWidth="1" style="30" min="76" max="80"/>
    <col width="11.44140625" customWidth="1" style="30" min="81" max="150"/>
  </cols>
  <sheetData>
    <row r="1" ht="15" customHeight="1" thickBot="1">
      <c r="A1" s="49" t="n"/>
      <c r="B1" s="50" t="inlineStr">
        <is>
          <t>R1</t>
        </is>
      </c>
      <c r="C1" s="50" t="inlineStr">
        <is>
          <t>R2</t>
        </is>
      </c>
      <c r="D1" s="50" t="n"/>
      <c r="E1" s="50" t="n"/>
      <c r="F1" s="50" t="n"/>
      <c r="G1" s="50" t="inlineStr">
        <is>
          <t>R3</t>
        </is>
      </c>
      <c r="H1" s="50" t="inlineStr">
        <is>
          <t>R4</t>
        </is>
      </c>
      <c r="I1" s="50" t="inlineStr">
        <is>
          <t>R5</t>
        </is>
      </c>
      <c r="J1" s="50" t="inlineStr">
        <is>
          <t>R6</t>
        </is>
      </c>
      <c r="K1" s="50" t="inlineStr">
        <is>
          <t>R7</t>
        </is>
      </c>
      <c r="L1" s="50" t="inlineStr">
        <is>
          <t>R8</t>
        </is>
      </c>
      <c r="M1" s="50" t="inlineStr">
        <is>
          <t>R9</t>
        </is>
      </c>
      <c r="N1" s="50" t="inlineStr">
        <is>
          <t>R10</t>
        </is>
      </c>
      <c r="O1" s="50" t="inlineStr">
        <is>
          <t>R11</t>
        </is>
      </c>
      <c r="P1" s="50" t="inlineStr">
        <is>
          <t>R12</t>
        </is>
      </c>
      <c r="Q1" s="50" t="n"/>
      <c r="R1" s="50" t="inlineStr">
        <is>
          <t>R10</t>
        </is>
      </c>
      <c r="S1" s="50" t="inlineStr">
        <is>
          <t>R11</t>
        </is>
      </c>
      <c r="T1" s="50" t="inlineStr">
        <is>
          <t>R12</t>
        </is>
      </c>
      <c r="U1" s="50" t="inlineStr">
        <is>
          <t>R13</t>
        </is>
      </c>
      <c r="V1" s="50" t="inlineStr">
        <is>
          <t>R14</t>
        </is>
      </c>
      <c r="W1" s="50" t="inlineStr">
        <is>
          <t>R15</t>
        </is>
      </c>
      <c r="X1" s="50" t="inlineStr">
        <is>
          <t>R16</t>
        </is>
      </c>
      <c r="Y1" s="50" t="inlineStr">
        <is>
          <t>R17</t>
        </is>
      </c>
      <c r="Z1" s="50" t="inlineStr">
        <is>
          <t>R18</t>
        </is>
      </c>
      <c r="AA1" s="50" t="n"/>
      <c r="AB1" s="50" t="n"/>
      <c r="AC1" s="50" t="inlineStr">
        <is>
          <t>R14</t>
        </is>
      </c>
      <c r="AD1" s="50" t="inlineStr">
        <is>
          <t>R15</t>
        </is>
      </c>
      <c r="AE1" s="50" t="inlineStr">
        <is>
          <t>R16</t>
        </is>
      </c>
      <c r="AF1" s="50" t="inlineStr">
        <is>
          <t>R17</t>
        </is>
      </c>
      <c r="AG1" s="50" t="n"/>
      <c r="AH1" s="50" t="inlineStr">
        <is>
          <t>R18</t>
        </is>
      </c>
      <c r="AI1" s="50" t="inlineStr">
        <is>
          <t>R19</t>
        </is>
      </c>
      <c r="AJ1" s="50" t="inlineStr">
        <is>
          <t>R20</t>
        </is>
      </c>
      <c r="AK1" s="50" t="inlineStr">
        <is>
          <t>R21</t>
        </is>
      </c>
      <c r="AL1" s="50" t="n"/>
      <c r="AM1" s="50" t="inlineStr">
        <is>
          <t>R22</t>
        </is>
      </c>
      <c r="AN1" s="50" t="inlineStr">
        <is>
          <t>R23</t>
        </is>
      </c>
      <c r="AO1" s="50" t="inlineStr">
        <is>
          <t>R24</t>
        </is>
      </c>
      <c r="AP1" s="50" t="inlineStr">
        <is>
          <t>R25</t>
        </is>
      </c>
      <c r="AQ1" s="50" t="inlineStr">
        <is>
          <t>R5</t>
        </is>
      </c>
      <c r="AR1" s="50" t="inlineStr">
        <is>
          <t>R1</t>
        </is>
      </c>
      <c r="AS1" s="50" t="inlineStr">
        <is>
          <t>R2</t>
        </is>
      </c>
      <c r="AT1" s="50" t="inlineStr">
        <is>
          <t>R3</t>
        </is>
      </c>
      <c r="AU1" s="50" t="n"/>
      <c r="AV1" s="50" t="inlineStr">
        <is>
          <t>R4</t>
        </is>
      </c>
      <c r="AW1" s="50" t="inlineStr">
        <is>
          <t>R5</t>
        </is>
      </c>
      <c r="AX1" s="50" t="inlineStr">
        <is>
          <t>R6</t>
        </is>
      </c>
      <c r="AY1" s="50" t="inlineStr">
        <is>
          <t>R7</t>
        </is>
      </c>
      <c r="AZ1" s="50" t="inlineStr">
        <is>
          <t>R8</t>
        </is>
      </c>
      <c r="BA1" s="50" t="inlineStr">
        <is>
          <t>R9</t>
        </is>
      </c>
      <c r="BB1" s="50" t="inlineStr">
        <is>
          <t>R10</t>
        </is>
      </c>
      <c r="BC1" s="50" t="inlineStr">
        <is>
          <t>R11</t>
        </is>
      </c>
      <c r="BD1" s="50" t="inlineStr">
        <is>
          <t>R12</t>
        </is>
      </c>
      <c r="BE1" s="50" t="inlineStr">
        <is>
          <t>R13</t>
        </is>
      </c>
      <c r="BF1" s="50" t="inlineStr">
        <is>
          <t>R14</t>
        </is>
      </c>
      <c r="BG1" s="50" t="inlineStr">
        <is>
          <t>R15</t>
        </is>
      </c>
      <c r="BH1" s="50" t="inlineStr">
        <is>
          <t>R16</t>
        </is>
      </c>
      <c r="BI1" s="50" t="n"/>
      <c r="BJ1" s="50" t="n"/>
      <c r="BK1" s="50" t="n"/>
      <c r="BL1" s="50" t="n"/>
      <c r="BM1" s="50" t="inlineStr">
        <is>
          <t>R17</t>
        </is>
      </c>
      <c r="BN1" s="50" t="inlineStr">
        <is>
          <t>R18</t>
        </is>
      </c>
      <c r="BO1" s="50" t="inlineStr">
        <is>
          <t>R19</t>
        </is>
      </c>
      <c r="BP1" s="50" t="inlineStr">
        <is>
          <t>R20</t>
        </is>
      </c>
      <c r="BQ1" s="50" t="inlineStr">
        <is>
          <t>R21</t>
        </is>
      </c>
      <c r="BR1" s="50" t="inlineStr">
        <is>
          <t>R22</t>
        </is>
      </c>
      <c r="BS1" s="50" t="inlineStr">
        <is>
          <t>R23</t>
        </is>
      </c>
      <c r="BT1" s="50" t="inlineStr">
        <is>
          <t>R24</t>
        </is>
      </c>
      <c r="BU1" s="50" t="inlineStr">
        <is>
          <t>R25</t>
        </is>
      </c>
      <c r="BV1" s="50" t="inlineStr">
        <is>
          <t>R26</t>
        </is>
      </c>
      <c r="BW1" s="50" t="inlineStr">
        <is>
          <t>R27</t>
        </is>
      </c>
      <c r="BX1" s="50" t="inlineStr">
        <is>
          <t>R28</t>
        </is>
      </c>
      <c r="BY1" s="50" t="inlineStr">
        <is>
          <t>R29</t>
        </is>
      </c>
      <c r="BZ1" s="50" t="inlineStr">
        <is>
          <t>R30</t>
        </is>
      </c>
      <c r="CA1" s="50" t="inlineStr">
        <is>
          <t>R31</t>
        </is>
      </c>
      <c r="CB1" s="50" t="inlineStr">
        <is>
          <t>R32</t>
        </is>
      </c>
      <c r="EU1" s="30" t="n"/>
      <c r="EV1" s="30" t="n"/>
      <c r="EW1" s="30" t="n"/>
    </row>
    <row r="2" ht="15" customHeight="1">
      <c r="A2" s="48" t="inlineStr">
        <is>
          <t>Precondiciones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  <c r="AA2" s="51" t="n"/>
      <c r="AB2" s="51" t="n"/>
      <c r="AC2" s="51" t="n"/>
      <c r="AD2" s="51" t="n"/>
      <c r="AE2" s="51" t="n"/>
      <c r="AF2" s="51" t="n"/>
      <c r="AG2" s="51" t="n"/>
      <c r="AH2" s="51" t="n"/>
      <c r="AI2" s="51" t="n"/>
      <c r="AJ2" s="51" t="n"/>
      <c r="AK2" s="51" t="n"/>
      <c r="AL2" s="51" t="n"/>
      <c r="AM2" s="51" t="n"/>
      <c r="AN2" s="51" t="n"/>
      <c r="AO2" s="51" t="n"/>
      <c r="AP2" s="51" t="n"/>
      <c r="AQ2" s="51" t="n"/>
      <c r="AR2" s="51" t="n"/>
      <c r="AS2" s="51" t="n"/>
      <c r="AT2" s="51" t="n"/>
      <c r="AU2" s="51" t="n"/>
      <c r="AV2" s="51" t="n"/>
      <c r="AW2" s="51" t="n"/>
      <c r="AX2" s="51" t="n"/>
      <c r="AY2" s="51" t="n"/>
      <c r="AZ2" s="51" t="n"/>
      <c r="BA2" s="51" t="n"/>
      <c r="BB2" s="51" t="n"/>
      <c r="BC2" s="51" t="n"/>
      <c r="BD2" s="51" t="n"/>
      <c r="BE2" s="51" t="n"/>
      <c r="BF2" s="51" t="n"/>
      <c r="BG2" s="51" t="n"/>
      <c r="BH2" s="51" t="n"/>
      <c r="BI2" s="51" t="n"/>
      <c r="BJ2" s="51" t="n"/>
      <c r="BK2" s="51" t="n"/>
      <c r="BL2" s="51" t="n"/>
      <c r="BM2" s="51" t="n"/>
      <c r="BN2" s="51" t="n"/>
      <c r="BO2" s="51" t="n"/>
      <c r="BP2" s="51" t="n"/>
      <c r="BQ2" s="51" t="n"/>
      <c r="BR2" s="51" t="n"/>
      <c r="BS2" s="51" t="n"/>
      <c r="BT2" s="51" t="n"/>
      <c r="BU2" s="51" t="n"/>
      <c r="BV2" s="51" t="n"/>
      <c r="BW2" s="51" t="n"/>
      <c r="BX2" s="51" t="n"/>
      <c r="BY2" s="51" t="n"/>
      <c r="BZ2" s="51" t="n"/>
      <c r="CA2" s="51" t="n"/>
      <c r="CB2" s="51" t="n"/>
      <c r="EU2" s="30" t="n"/>
      <c r="EV2" s="30" t="n"/>
      <c r="EW2" s="30" t="n"/>
    </row>
    <row r="3" ht="15" customHeight="1">
      <c r="A3" s="46" t="inlineStr">
        <is>
          <t xml:space="preserve">Usuario Creado en Bantotal </t>
        </is>
      </c>
      <c r="B3" s="56" t="inlineStr">
        <is>
          <t>x</t>
        </is>
      </c>
      <c r="C3" s="56" t="inlineStr">
        <is>
          <t>x</t>
        </is>
      </c>
      <c r="D3" s="56" t="n"/>
      <c r="E3" s="56" t="n"/>
      <c r="F3" s="56" t="n"/>
      <c r="G3" s="56" t="inlineStr">
        <is>
          <t>x</t>
        </is>
      </c>
      <c r="H3" s="56" t="inlineStr">
        <is>
          <t>x</t>
        </is>
      </c>
      <c r="I3" s="56" t="inlineStr">
        <is>
          <t>x</t>
        </is>
      </c>
      <c r="J3" s="56" t="inlineStr">
        <is>
          <t>x</t>
        </is>
      </c>
      <c r="K3" s="56" t="inlineStr">
        <is>
          <t>x</t>
        </is>
      </c>
      <c r="L3" s="56" t="inlineStr">
        <is>
          <t>x</t>
        </is>
      </c>
      <c r="M3" s="56" t="inlineStr">
        <is>
          <t>x</t>
        </is>
      </c>
      <c r="N3" s="56" t="inlineStr">
        <is>
          <t>x</t>
        </is>
      </c>
      <c r="O3" s="56" t="inlineStr">
        <is>
          <t>x</t>
        </is>
      </c>
      <c r="P3" s="56" t="inlineStr">
        <is>
          <t>x</t>
        </is>
      </c>
      <c r="Q3" s="56" t="n"/>
      <c r="R3" s="56" t="inlineStr">
        <is>
          <t>x</t>
        </is>
      </c>
      <c r="S3" s="56" t="inlineStr">
        <is>
          <t>x</t>
        </is>
      </c>
      <c r="T3" s="56" t="inlineStr">
        <is>
          <t>x</t>
        </is>
      </c>
      <c r="U3" s="56" t="inlineStr">
        <is>
          <t>x</t>
        </is>
      </c>
      <c r="V3" s="56" t="inlineStr">
        <is>
          <t>x</t>
        </is>
      </c>
      <c r="W3" s="56" t="inlineStr">
        <is>
          <t>x</t>
        </is>
      </c>
      <c r="X3" s="56" t="inlineStr">
        <is>
          <t>x</t>
        </is>
      </c>
      <c r="Y3" s="56" t="inlineStr">
        <is>
          <t>x</t>
        </is>
      </c>
      <c r="Z3" s="56" t="inlineStr">
        <is>
          <t>x</t>
        </is>
      </c>
      <c r="AA3" s="56" t="n"/>
      <c r="AB3" s="56" t="n"/>
      <c r="AC3" s="56" t="inlineStr">
        <is>
          <t>x</t>
        </is>
      </c>
      <c r="AD3" s="56" t="inlineStr">
        <is>
          <t>x</t>
        </is>
      </c>
      <c r="AE3" s="56" t="inlineStr">
        <is>
          <t>x</t>
        </is>
      </c>
      <c r="AF3" s="56" t="inlineStr">
        <is>
          <t>x</t>
        </is>
      </c>
      <c r="AG3" s="56" t="inlineStr">
        <is>
          <t>x</t>
        </is>
      </c>
      <c r="AH3" s="56" t="inlineStr">
        <is>
          <t>x</t>
        </is>
      </c>
      <c r="AI3" s="56" t="inlineStr">
        <is>
          <t>x</t>
        </is>
      </c>
      <c r="AJ3" s="56" t="inlineStr">
        <is>
          <t>x</t>
        </is>
      </c>
      <c r="AK3" s="56" t="inlineStr">
        <is>
          <t>x</t>
        </is>
      </c>
      <c r="AL3" s="56" t="inlineStr">
        <is>
          <t>x</t>
        </is>
      </c>
      <c r="AM3" s="56" t="n"/>
      <c r="AN3" s="56" t="n"/>
      <c r="AO3" s="56" t="n"/>
      <c r="AP3" s="56" t="n"/>
      <c r="AQ3" s="56" t="inlineStr">
        <is>
          <t>x</t>
        </is>
      </c>
      <c r="AR3" s="56" t="inlineStr">
        <is>
          <t>x</t>
        </is>
      </c>
      <c r="AS3" s="56" t="inlineStr">
        <is>
          <t>x</t>
        </is>
      </c>
      <c r="AT3" s="56" t="inlineStr">
        <is>
          <t>x</t>
        </is>
      </c>
      <c r="AU3" s="56" t="inlineStr">
        <is>
          <t>x</t>
        </is>
      </c>
      <c r="AV3" s="56" t="inlineStr">
        <is>
          <t>x</t>
        </is>
      </c>
      <c r="AW3" s="56" t="inlineStr">
        <is>
          <t>x</t>
        </is>
      </c>
      <c r="AX3" s="56" t="inlineStr">
        <is>
          <t>x</t>
        </is>
      </c>
      <c r="AY3" s="56" t="inlineStr">
        <is>
          <t>x</t>
        </is>
      </c>
      <c r="AZ3" s="56" t="inlineStr">
        <is>
          <t>x</t>
        </is>
      </c>
      <c r="BA3" s="56" t="inlineStr">
        <is>
          <t>x</t>
        </is>
      </c>
      <c r="BB3" s="56" t="inlineStr">
        <is>
          <t>x</t>
        </is>
      </c>
      <c r="BC3" s="56" t="inlineStr">
        <is>
          <t>x</t>
        </is>
      </c>
      <c r="BD3" s="56" t="inlineStr">
        <is>
          <t>x</t>
        </is>
      </c>
      <c r="BE3" s="56" t="inlineStr">
        <is>
          <t>x</t>
        </is>
      </c>
      <c r="BF3" s="56" t="inlineStr">
        <is>
          <t>x</t>
        </is>
      </c>
      <c r="BG3" s="56" t="inlineStr">
        <is>
          <t>x</t>
        </is>
      </c>
      <c r="BH3" s="56" t="inlineStr">
        <is>
          <t>x</t>
        </is>
      </c>
      <c r="BI3" s="56" t="n"/>
      <c r="BJ3" s="56" t="n"/>
      <c r="BK3" s="56" t="n"/>
      <c r="BL3" s="56" t="n"/>
      <c r="BM3" s="56" t="inlineStr">
        <is>
          <t>x</t>
        </is>
      </c>
      <c r="BN3" s="56" t="inlineStr">
        <is>
          <t>x</t>
        </is>
      </c>
      <c r="BO3" s="56" t="inlineStr">
        <is>
          <t>x</t>
        </is>
      </c>
      <c r="BP3" s="56" t="inlineStr">
        <is>
          <t>x</t>
        </is>
      </c>
      <c r="BQ3" s="56" t="inlineStr">
        <is>
          <t>x</t>
        </is>
      </c>
      <c r="BR3" s="56" t="inlineStr">
        <is>
          <t>x</t>
        </is>
      </c>
      <c r="BS3" s="56" t="inlineStr">
        <is>
          <t>x</t>
        </is>
      </c>
      <c r="BT3" s="56" t="inlineStr">
        <is>
          <t>x</t>
        </is>
      </c>
      <c r="BU3" s="56" t="inlineStr">
        <is>
          <t>x</t>
        </is>
      </c>
      <c r="BV3" s="56" t="inlineStr">
        <is>
          <t>x</t>
        </is>
      </c>
      <c r="BW3" s="56" t="inlineStr">
        <is>
          <t>x</t>
        </is>
      </c>
      <c r="BX3" s="56" t="inlineStr">
        <is>
          <t>x</t>
        </is>
      </c>
      <c r="BY3" s="56" t="inlineStr">
        <is>
          <t>x</t>
        </is>
      </c>
      <c r="BZ3" s="56" t="inlineStr">
        <is>
          <t>x</t>
        </is>
      </c>
      <c r="CA3" s="56" t="inlineStr">
        <is>
          <t>x</t>
        </is>
      </c>
      <c r="CB3" s="56" t="inlineStr">
        <is>
          <t>x</t>
        </is>
      </c>
      <c r="EU3" s="30" t="n"/>
      <c r="EV3" s="30" t="n"/>
      <c r="EW3" s="30" t="n"/>
    </row>
    <row r="4" ht="15" customHeight="1">
      <c r="A4" s="46" t="inlineStr">
        <is>
          <t xml:space="preserve">Usuario con perfil y permisos </t>
        </is>
      </c>
      <c r="B4" s="56" t="inlineStr">
        <is>
          <t>x</t>
        </is>
      </c>
      <c r="C4" s="56" t="inlineStr">
        <is>
          <t>x</t>
        </is>
      </c>
      <c r="D4" s="56" t="n"/>
      <c r="E4" s="56" t="n"/>
      <c r="F4" s="56" t="n"/>
      <c r="G4" s="56" t="inlineStr">
        <is>
          <t>x</t>
        </is>
      </c>
      <c r="H4" s="56" t="inlineStr">
        <is>
          <t>x</t>
        </is>
      </c>
      <c r="I4" s="56" t="inlineStr">
        <is>
          <t>x</t>
        </is>
      </c>
      <c r="J4" s="56" t="inlineStr">
        <is>
          <t>x</t>
        </is>
      </c>
      <c r="K4" s="56" t="inlineStr">
        <is>
          <t>x</t>
        </is>
      </c>
      <c r="L4" s="56" t="inlineStr">
        <is>
          <t>x</t>
        </is>
      </c>
      <c r="M4" s="56" t="inlineStr">
        <is>
          <t>x</t>
        </is>
      </c>
      <c r="N4" s="56" t="inlineStr">
        <is>
          <t>x</t>
        </is>
      </c>
      <c r="O4" s="56" t="inlineStr">
        <is>
          <t>x</t>
        </is>
      </c>
      <c r="P4" s="56" t="inlineStr">
        <is>
          <t>x</t>
        </is>
      </c>
      <c r="Q4" s="56" t="n"/>
      <c r="R4" s="56" t="inlineStr">
        <is>
          <t>x</t>
        </is>
      </c>
      <c r="S4" s="56" t="inlineStr">
        <is>
          <t>x</t>
        </is>
      </c>
      <c r="T4" s="56" t="inlineStr">
        <is>
          <t>x</t>
        </is>
      </c>
      <c r="U4" s="56" t="inlineStr">
        <is>
          <t>x</t>
        </is>
      </c>
      <c r="V4" s="56" t="inlineStr">
        <is>
          <t>x</t>
        </is>
      </c>
      <c r="W4" s="56" t="inlineStr">
        <is>
          <t>x</t>
        </is>
      </c>
      <c r="X4" s="56" t="inlineStr">
        <is>
          <t>x</t>
        </is>
      </c>
      <c r="Y4" s="56" t="inlineStr">
        <is>
          <t>x</t>
        </is>
      </c>
      <c r="Z4" s="56" t="inlineStr">
        <is>
          <t>x</t>
        </is>
      </c>
      <c r="AA4" s="56" t="n"/>
      <c r="AB4" s="56" t="n"/>
      <c r="AC4" s="56" t="inlineStr">
        <is>
          <t>x</t>
        </is>
      </c>
      <c r="AD4" s="56" t="inlineStr">
        <is>
          <t>x</t>
        </is>
      </c>
      <c r="AE4" s="56" t="inlineStr">
        <is>
          <t>x</t>
        </is>
      </c>
      <c r="AF4" s="56" t="inlineStr">
        <is>
          <t>x</t>
        </is>
      </c>
      <c r="AG4" s="56" t="inlineStr">
        <is>
          <t>x</t>
        </is>
      </c>
      <c r="AH4" s="56" t="inlineStr">
        <is>
          <t>x</t>
        </is>
      </c>
      <c r="AI4" s="56" t="inlineStr">
        <is>
          <t>x</t>
        </is>
      </c>
      <c r="AJ4" s="56" t="inlineStr">
        <is>
          <t>x</t>
        </is>
      </c>
      <c r="AK4" s="56" t="inlineStr">
        <is>
          <t>x</t>
        </is>
      </c>
      <c r="AL4" s="56" t="inlineStr">
        <is>
          <t>x</t>
        </is>
      </c>
      <c r="AM4" s="56" t="n"/>
      <c r="AN4" s="56" t="n"/>
      <c r="AO4" s="56" t="n"/>
      <c r="AP4" s="56" t="n"/>
      <c r="AQ4" s="56" t="inlineStr">
        <is>
          <t>x</t>
        </is>
      </c>
      <c r="AR4" s="56" t="inlineStr">
        <is>
          <t>x</t>
        </is>
      </c>
      <c r="AS4" s="56" t="inlineStr">
        <is>
          <t>x</t>
        </is>
      </c>
      <c r="AT4" s="56" t="inlineStr">
        <is>
          <t>x</t>
        </is>
      </c>
      <c r="AU4" s="56" t="inlineStr">
        <is>
          <t>x</t>
        </is>
      </c>
      <c r="AV4" s="56" t="inlineStr">
        <is>
          <t>x</t>
        </is>
      </c>
      <c r="AW4" s="56" t="inlineStr">
        <is>
          <t>x</t>
        </is>
      </c>
      <c r="AX4" s="56" t="inlineStr">
        <is>
          <t>x</t>
        </is>
      </c>
      <c r="AY4" s="56" t="inlineStr">
        <is>
          <t>x</t>
        </is>
      </c>
      <c r="AZ4" s="56" t="inlineStr">
        <is>
          <t>x</t>
        </is>
      </c>
      <c r="BA4" s="56" t="inlineStr">
        <is>
          <t>x</t>
        </is>
      </c>
      <c r="BB4" s="56" t="inlineStr">
        <is>
          <t>x</t>
        </is>
      </c>
      <c r="BC4" s="56" t="inlineStr">
        <is>
          <t>x</t>
        </is>
      </c>
      <c r="BD4" s="56" t="inlineStr">
        <is>
          <t>x</t>
        </is>
      </c>
      <c r="BE4" s="56" t="inlineStr">
        <is>
          <t>x</t>
        </is>
      </c>
      <c r="BF4" s="56" t="inlineStr">
        <is>
          <t>x</t>
        </is>
      </c>
      <c r="BG4" s="56" t="inlineStr">
        <is>
          <t>x</t>
        </is>
      </c>
      <c r="BH4" s="56" t="inlineStr">
        <is>
          <t>x</t>
        </is>
      </c>
      <c r="BI4" s="56" t="n"/>
      <c r="BJ4" s="56" t="n"/>
      <c r="BK4" s="56" t="n"/>
      <c r="BL4" s="56" t="n"/>
      <c r="BM4" s="56" t="inlineStr">
        <is>
          <t>x</t>
        </is>
      </c>
      <c r="BN4" s="56" t="inlineStr">
        <is>
          <t>x</t>
        </is>
      </c>
      <c r="BO4" s="56" t="inlineStr">
        <is>
          <t>x</t>
        </is>
      </c>
      <c r="BP4" s="56" t="inlineStr">
        <is>
          <t>x</t>
        </is>
      </c>
      <c r="BQ4" s="56" t="inlineStr">
        <is>
          <t>x</t>
        </is>
      </c>
      <c r="BR4" s="56" t="inlineStr">
        <is>
          <t>x</t>
        </is>
      </c>
      <c r="BS4" s="56" t="inlineStr">
        <is>
          <t>x</t>
        </is>
      </c>
      <c r="BT4" s="56" t="inlineStr">
        <is>
          <t>x</t>
        </is>
      </c>
      <c r="BU4" s="56" t="inlineStr">
        <is>
          <t>x</t>
        </is>
      </c>
      <c r="BV4" s="56" t="inlineStr">
        <is>
          <t>x</t>
        </is>
      </c>
      <c r="BW4" s="56" t="inlineStr">
        <is>
          <t>x</t>
        </is>
      </c>
      <c r="BX4" s="56" t="inlineStr">
        <is>
          <t>x</t>
        </is>
      </c>
      <c r="BY4" s="56" t="inlineStr">
        <is>
          <t>x</t>
        </is>
      </c>
      <c r="BZ4" s="56" t="inlineStr">
        <is>
          <t>x</t>
        </is>
      </c>
      <c r="CA4" s="56" t="inlineStr">
        <is>
          <t>x</t>
        </is>
      </c>
      <c r="CB4" s="56" t="inlineStr">
        <is>
          <t>x</t>
        </is>
      </c>
      <c r="EU4" s="30" t="n"/>
      <c r="EV4" s="30" t="n"/>
      <c r="EW4" s="30" t="n"/>
    </row>
    <row r="5" ht="15" customHeight="1">
      <c r="A5" s="48" t="inlineStr">
        <is>
          <t>Remesadora</t>
        </is>
      </c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62" t="n"/>
      <c r="AD5" s="62" t="n"/>
      <c r="AE5" s="62" t="n"/>
      <c r="AF5" s="62" t="n"/>
      <c r="AG5" s="62" t="n"/>
      <c r="AH5" s="62" t="n"/>
      <c r="AI5" s="62" t="n"/>
      <c r="AJ5" s="62" t="n"/>
      <c r="AK5" s="62" t="n"/>
      <c r="AL5" s="62" t="n"/>
      <c r="AM5" s="62" t="n"/>
      <c r="AN5" s="62" t="n"/>
      <c r="AO5" s="62" t="n"/>
      <c r="AP5" s="62" t="n"/>
      <c r="AQ5" s="62" t="n"/>
      <c r="AR5" s="62" t="n"/>
      <c r="AS5" s="62" t="n"/>
      <c r="AT5" s="62" t="n"/>
      <c r="AU5" s="62" t="n"/>
      <c r="AV5" s="62" t="n"/>
      <c r="AW5" s="62" t="n"/>
      <c r="AX5" s="62" t="n"/>
      <c r="AY5" s="62" t="n"/>
      <c r="AZ5" s="62" t="n"/>
      <c r="BA5" s="62" t="n"/>
      <c r="BB5" s="62" t="n"/>
      <c r="BC5" s="62" t="n"/>
      <c r="BD5" s="62" t="n"/>
      <c r="BE5" s="62" t="n"/>
      <c r="BF5" s="62" t="n"/>
      <c r="BG5" s="62" t="n"/>
      <c r="BH5" s="62" t="n"/>
      <c r="BI5" s="62" t="n"/>
      <c r="BJ5" s="62" t="n"/>
      <c r="BK5" s="62" t="n"/>
      <c r="BL5" s="62" t="n"/>
      <c r="EU5" s="30" t="n"/>
      <c r="EV5" s="30" t="n"/>
      <c r="EW5" s="30" t="n"/>
    </row>
    <row r="6" ht="15" customHeight="1">
      <c r="A6" s="46" t="inlineStr">
        <is>
          <t>RIA</t>
        </is>
      </c>
      <c r="B6" s="56" t="inlineStr">
        <is>
          <t>x</t>
        </is>
      </c>
      <c r="C6" s="56" t="inlineStr">
        <is>
          <t>x</t>
        </is>
      </c>
      <c r="D6" s="56" t="n"/>
      <c r="E6" s="56" t="n"/>
      <c r="F6" s="56" t="n"/>
      <c r="G6" s="56" t="inlineStr">
        <is>
          <t>x</t>
        </is>
      </c>
      <c r="H6" s="56" t="inlineStr">
        <is>
          <t>x</t>
        </is>
      </c>
      <c r="I6" s="56" t="inlineStr">
        <is>
          <t>x</t>
        </is>
      </c>
      <c r="J6" s="56" t="inlineStr">
        <is>
          <t>x</t>
        </is>
      </c>
      <c r="K6" s="56" t="inlineStr">
        <is>
          <t>x</t>
        </is>
      </c>
      <c r="L6" s="56" t="inlineStr">
        <is>
          <t>x</t>
        </is>
      </c>
      <c r="M6" s="56" t="inlineStr">
        <is>
          <t>x</t>
        </is>
      </c>
      <c r="N6" s="56" t="inlineStr">
        <is>
          <t>x</t>
        </is>
      </c>
      <c r="O6" s="56" t="inlineStr">
        <is>
          <t>x</t>
        </is>
      </c>
      <c r="P6" s="56" t="inlineStr">
        <is>
          <t>x</t>
        </is>
      </c>
      <c r="Q6" s="56" t="n"/>
      <c r="R6" s="56" t="inlineStr">
        <is>
          <t>x</t>
        </is>
      </c>
      <c r="S6" s="56" t="inlineStr">
        <is>
          <t>x</t>
        </is>
      </c>
      <c r="T6" s="56" t="inlineStr">
        <is>
          <t>x</t>
        </is>
      </c>
      <c r="U6" s="56" t="inlineStr">
        <is>
          <t>x</t>
        </is>
      </c>
      <c r="V6" s="56" t="inlineStr">
        <is>
          <t>x</t>
        </is>
      </c>
      <c r="W6" s="56" t="inlineStr">
        <is>
          <t>x</t>
        </is>
      </c>
      <c r="X6" s="56" t="inlineStr">
        <is>
          <t>x</t>
        </is>
      </c>
      <c r="Y6" s="56" t="inlineStr">
        <is>
          <t>x</t>
        </is>
      </c>
      <c r="Z6" s="56" t="inlineStr">
        <is>
          <t>x</t>
        </is>
      </c>
      <c r="AA6" s="56" t="n"/>
      <c r="AB6" s="56" t="n"/>
      <c r="AC6" s="56" t="inlineStr">
        <is>
          <t>x</t>
        </is>
      </c>
      <c r="AD6" s="56" t="inlineStr">
        <is>
          <t>x</t>
        </is>
      </c>
      <c r="AE6" s="56" t="inlineStr">
        <is>
          <t>x</t>
        </is>
      </c>
      <c r="AF6" s="56" t="inlineStr">
        <is>
          <t>x</t>
        </is>
      </c>
      <c r="AG6" s="56" t="inlineStr">
        <is>
          <t>x</t>
        </is>
      </c>
      <c r="AH6" s="56" t="inlineStr">
        <is>
          <t>x</t>
        </is>
      </c>
      <c r="AI6" s="56" t="inlineStr">
        <is>
          <t>x</t>
        </is>
      </c>
      <c r="AJ6" s="56" t="inlineStr">
        <is>
          <t>x</t>
        </is>
      </c>
      <c r="AK6" s="56" t="inlineStr">
        <is>
          <t>x</t>
        </is>
      </c>
      <c r="AL6" s="56" t="inlineStr">
        <is>
          <t>x</t>
        </is>
      </c>
      <c r="AM6" s="56" t="n"/>
      <c r="AN6" s="56" t="n"/>
      <c r="AO6" s="56" t="n"/>
      <c r="AP6" s="56" t="n"/>
      <c r="AQ6" s="56" t="inlineStr">
        <is>
          <t>x</t>
        </is>
      </c>
      <c r="AR6" s="56" t="inlineStr">
        <is>
          <t>x</t>
        </is>
      </c>
      <c r="AS6" s="56" t="inlineStr">
        <is>
          <t>x</t>
        </is>
      </c>
      <c r="AT6" s="56" t="inlineStr">
        <is>
          <t>x</t>
        </is>
      </c>
      <c r="AU6" s="56" t="inlineStr">
        <is>
          <t>x</t>
        </is>
      </c>
      <c r="AV6" s="56" t="inlineStr">
        <is>
          <t>x</t>
        </is>
      </c>
      <c r="AW6" s="56" t="inlineStr">
        <is>
          <t>x</t>
        </is>
      </c>
      <c r="AX6" s="56" t="inlineStr">
        <is>
          <t>x</t>
        </is>
      </c>
      <c r="AY6" s="56" t="inlineStr">
        <is>
          <t>x</t>
        </is>
      </c>
      <c r="AZ6" s="56" t="inlineStr">
        <is>
          <t>x</t>
        </is>
      </c>
      <c r="BA6" s="56" t="inlineStr">
        <is>
          <t>x</t>
        </is>
      </c>
      <c r="BB6" s="56" t="inlineStr">
        <is>
          <t>x</t>
        </is>
      </c>
      <c r="BC6" s="56" t="inlineStr">
        <is>
          <t>x</t>
        </is>
      </c>
      <c r="BD6" s="56" t="inlineStr">
        <is>
          <t>x</t>
        </is>
      </c>
      <c r="BE6" s="56" t="inlineStr">
        <is>
          <t>x</t>
        </is>
      </c>
      <c r="BF6" s="56" t="inlineStr">
        <is>
          <t>x</t>
        </is>
      </c>
      <c r="BG6" s="56" t="inlineStr">
        <is>
          <t>x</t>
        </is>
      </c>
      <c r="BH6" s="56" t="inlineStr">
        <is>
          <t>x</t>
        </is>
      </c>
      <c r="BI6" s="56" t="n"/>
      <c r="BJ6" s="56" t="n"/>
      <c r="BK6" s="56" t="n"/>
      <c r="BL6" s="56" t="n"/>
      <c r="BM6" s="56" t="n"/>
      <c r="BN6" s="56" t="n"/>
      <c r="BO6" s="56" t="n"/>
      <c r="BP6" s="56" t="n"/>
      <c r="BQ6" s="56" t="n"/>
      <c r="BR6" s="56" t="n"/>
      <c r="BS6" s="56" t="n"/>
      <c r="BT6" s="56" t="n"/>
      <c r="BU6" s="56" t="n"/>
      <c r="BV6" s="56" t="n"/>
      <c r="BW6" s="56" t="n"/>
      <c r="BX6" s="56" t="n"/>
      <c r="BY6" s="56" t="n"/>
      <c r="BZ6" s="56" t="n"/>
      <c r="CA6" s="56" t="n"/>
      <c r="CB6" s="56" t="n"/>
      <c r="EU6" s="30" t="n"/>
      <c r="EV6" s="30" t="n"/>
      <c r="EW6" s="30" t="n"/>
    </row>
    <row r="7" ht="15" customHeight="1">
      <c r="A7" s="46" t="inlineStr">
        <is>
          <t>Acciones y valores</t>
        </is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46" t="n"/>
      <c r="AR7" s="56" t="n"/>
      <c r="AS7" s="56" t="n"/>
      <c r="AT7" s="56" t="n"/>
      <c r="AU7" s="56" t="n"/>
      <c r="AV7" s="56" t="n"/>
      <c r="AW7" s="56" t="n"/>
      <c r="AX7" s="56" t="n"/>
      <c r="AY7" s="56" t="n"/>
      <c r="AZ7" s="56" t="n"/>
      <c r="BA7" s="56" t="n"/>
      <c r="BB7" s="56" t="n"/>
      <c r="BC7" s="5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  <c r="BM7" s="56" t="inlineStr">
        <is>
          <t>x</t>
        </is>
      </c>
      <c r="BN7" s="56" t="inlineStr">
        <is>
          <t>x</t>
        </is>
      </c>
      <c r="BO7" s="56" t="inlineStr">
        <is>
          <t>x</t>
        </is>
      </c>
      <c r="BP7" s="56" t="inlineStr">
        <is>
          <t>x</t>
        </is>
      </c>
      <c r="BQ7" s="56" t="inlineStr">
        <is>
          <t>x</t>
        </is>
      </c>
      <c r="BR7" s="56" t="inlineStr">
        <is>
          <t>x</t>
        </is>
      </c>
      <c r="BS7" s="56" t="inlineStr">
        <is>
          <t>x</t>
        </is>
      </c>
      <c r="BT7" s="56" t="inlineStr">
        <is>
          <t>x</t>
        </is>
      </c>
      <c r="BU7" s="56" t="inlineStr">
        <is>
          <t>x</t>
        </is>
      </c>
      <c r="BV7" s="56" t="inlineStr">
        <is>
          <t>x</t>
        </is>
      </c>
      <c r="BW7" s="56" t="inlineStr">
        <is>
          <t>x</t>
        </is>
      </c>
      <c r="BX7" s="56" t="inlineStr">
        <is>
          <t>x</t>
        </is>
      </c>
      <c r="BY7" s="56" t="inlineStr">
        <is>
          <t>x</t>
        </is>
      </c>
      <c r="BZ7" s="56" t="inlineStr">
        <is>
          <t>x</t>
        </is>
      </c>
      <c r="CA7" s="56" t="inlineStr">
        <is>
          <t>x</t>
        </is>
      </c>
      <c r="CB7" s="56" t="inlineStr">
        <is>
          <t>x</t>
        </is>
      </c>
      <c r="EU7" s="30" t="n"/>
      <c r="EV7" s="30" t="n"/>
      <c r="EW7" s="30" t="n"/>
    </row>
    <row r="8" ht="15" customHeight="1">
      <c r="A8" s="48" t="inlineStr">
        <is>
          <t>Tipo de ingreso</t>
        </is>
      </c>
      <c r="B8" s="62" t="n"/>
      <c r="C8" s="62" t="n"/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  <c r="AL8" s="62" t="n"/>
      <c r="AM8" s="62" t="n"/>
      <c r="AN8" s="62" t="n"/>
      <c r="AO8" s="62" t="n"/>
      <c r="AP8" s="62" t="n"/>
      <c r="AQ8" s="62" t="n"/>
      <c r="AR8" s="62" t="n"/>
      <c r="AS8" s="62" t="n"/>
      <c r="AT8" s="62" t="n"/>
      <c r="AU8" s="62" t="n"/>
      <c r="AV8" s="62" t="n"/>
      <c r="AW8" s="62" t="n"/>
      <c r="AX8" s="62" t="n"/>
      <c r="AY8" s="62" t="n"/>
      <c r="AZ8" s="62" t="n"/>
      <c r="BA8" s="62" t="n"/>
      <c r="BB8" s="62" t="n"/>
      <c r="BC8" s="62" t="n"/>
      <c r="BD8" s="62" t="n"/>
      <c r="BE8" s="62" t="n"/>
      <c r="BF8" s="62" t="n"/>
      <c r="BG8" s="62" t="n"/>
      <c r="BH8" s="62" t="n"/>
      <c r="BI8" s="62" t="n"/>
      <c r="BJ8" s="62" t="n"/>
      <c r="BK8" s="62" t="n"/>
      <c r="BL8" s="62" t="n"/>
      <c r="BM8" s="62" t="n"/>
      <c r="BN8" s="62" t="n"/>
      <c r="BO8" s="62" t="n"/>
      <c r="BP8" s="62" t="n"/>
      <c r="BQ8" s="62" t="n"/>
      <c r="BR8" s="62" t="n"/>
      <c r="BS8" s="62" t="n"/>
      <c r="BT8" s="62" t="n"/>
      <c r="BU8" s="62" t="n"/>
      <c r="BV8" s="62" t="n"/>
      <c r="BW8" s="62" t="n"/>
      <c r="BX8" s="62" t="n"/>
      <c r="BY8" s="62" t="n"/>
      <c r="BZ8" s="62" t="n"/>
      <c r="CA8" s="62" t="n"/>
      <c r="CB8" s="62" t="n"/>
      <c r="EU8" s="30" t="n"/>
      <c r="EV8" s="30" t="n"/>
      <c r="EW8" s="30" t="n"/>
    </row>
    <row r="9" ht="15" customHeight="1">
      <c r="A9" s="46" t="inlineStr">
        <is>
          <t>Cliente</t>
        </is>
      </c>
      <c r="B9" s="56" t="inlineStr">
        <is>
          <t>x</t>
        </is>
      </c>
      <c r="C9" s="56" t="inlineStr">
        <is>
          <t>x</t>
        </is>
      </c>
      <c r="D9" s="56" t="n"/>
      <c r="E9" s="56" t="n"/>
      <c r="F9" s="56" t="n"/>
      <c r="G9" s="56" t="inlineStr">
        <is>
          <t>x</t>
        </is>
      </c>
      <c r="H9" s="56" t="inlineStr">
        <is>
          <t>x</t>
        </is>
      </c>
      <c r="I9" s="56" t="inlineStr">
        <is>
          <t>x</t>
        </is>
      </c>
      <c r="J9" s="56" t="inlineStr">
        <is>
          <t>x</t>
        </is>
      </c>
      <c r="K9" s="56" t="inlineStr">
        <is>
          <t>x</t>
        </is>
      </c>
      <c r="L9" s="56" t="inlineStr">
        <is>
          <t>x</t>
        </is>
      </c>
      <c r="M9" s="56" t="inlineStr">
        <is>
          <t>x</t>
        </is>
      </c>
      <c r="N9" s="56" t="inlineStr">
        <is>
          <t>x</t>
        </is>
      </c>
      <c r="O9" s="56" t="inlineStr">
        <is>
          <t>x</t>
        </is>
      </c>
      <c r="P9" s="56" t="inlineStr">
        <is>
          <t>x</t>
        </is>
      </c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6" t="n"/>
      <c r="AQ9" s="64" t="n"/>
      <c r="AR9" s="62" t="n"/>
      <c r="AS9" s="62" t="n"/>
      <c r="AT9" s="62" t="n"/>
      <c r="AU9" s="62" t="n"/>
      <c r="AV9" s="62" t="n"/>
      <c r="AW9" s="62" t="n"/>
      <c r="AX9" s="62" t="n"/>
      <c r="AY9" s="62" t="n"/>
      <c r="AZ9" s="62" t="n"/>
      <c r="BA9" s="62" t="n"/>
      <c r="BB9" s="62" t="n"/>
      <c r="BC9" s="62" t="n"/>
      <c r="BD9" s="62" t="n"/>
      <c r="BE9" s="62" t="n"/>
      <c r="BF9" s="62" t="n"/>
      <c r="BG9" s="62" t="n"/>
      <c r="BH9" s="62" t="n"/>
      <c r="BI9" s="62" t="n"/>
      <c r="BJ9" s="62" t="n"/>
      <c r="BK9" s="62" t="n"/>
      <c r="BL9" s="62" t="n"/>
      <c r="BM9" s="62" t="n"/>
      <c r="BN9" s="62" t="n"/>
      <c r="BO9" s="62" t="n"/>
      <c r="BP9" s="62" t="n"/>
      <c r="BQ9" s="62" t="n"/>
      <c r="BR9" s="62" t="n"/>
      <c r="BS9" s="62" t="n"/>
      <c r="BT9" s="62" t="n"/>
      <c r="BU9" s="62" t="n"/>
      <c r="BV9" s="62" t="n"/>
      <c r="BW9" s="62" t="n"/>
      <c r="BX9" s="62" t="n"/>
      <c r="BY9" s="62" t="n"/>
      <c r="BZ9" s="62" t="n"/>
      <c r="CA9" s="62" t="n"/>
      <c r="CB9" s="62" t="n"/>
      <c r="EU9" s="30" t="n"/>
      <c r="EV9" s="30" t="n"/>
      <c r="EW9" s="30" t="n"/>
    </row>
    <row r="10" ht="15" customHeight="1">
      <c r="A10" s="46" t="inlineStr">
        <is>
          <t>Persona</t>
        </is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inlineStr">
        <is>
          <t>x</t>
        </is>
      </c>
      <c r="S10" s="56" t="inlineStr">
        <is>
          <t>x</t>
        </is>
      </c>
      <c r="T10" s="56" t="inlineStr">
        <is>
          <t>x</t>
        </is>
      </c>
      <c r="U10" s="56" t="inlineStr">
        <is>
          <t>x</t>
        </is>
      </c>
      <c r="V10" s="56" t="inlineStr">
        <is>
          <t>x</t>
        </is>
      </c>
      <c r="W10" s="56" t="inlineStr">
        <is>
          <t>x</t>
        </is>
      </c>
      <c r="X10" s="56" t="inlineStr">
        <is>
          <t>x</t>
        </is>
      </c>
      <c r="Y10" s="56" t="inlineStr">
        <is>
          <t>x</t>
        </is>
      </c>
      <c r="Z10" s="56" t="inlineStr">
        <is>
          <t>x</t>
        </is>
      </c>
      <c r="AA10" s="56" t="n"/>
      <c r="AB10" s="56" t="n"/>
      <c r="AC10" s="56" t="inlineStr">
        <is>
          <t>x</t>
        </is>
      </c>
      <c r="AD10" s="56" t="inlineStr">
        <is>
          <t>x</t>
        </is>
      </c>
      <c r="AE10" s="56" t="inlineStr">
        <is>
          <t>x</t>
        </is>
      </c>
      <c r="AF10" s="56" t="inlineStr">
        <is>
          <t>x</t>
        </is>
      </c>
      <c r="AG10" s="56" t="inlineStr">
        <is>
          <t>x</t>
        </is>
      </c>
      <c r="AH10" s="56" t="inlineStr">
        <is>
          <t>x</t>
        </is>
      </c>
      <c r="AI10" s="56" t="inlineStr">
        <is>
          <t>x</t>
        </is>
      </c>
      <c r="AJ10" s="56" t="inlineStr">
        <is>
          <t>x</t>
        </is>
      </c>
      <c r="AK10" s="56" t="inlineStr">
        <is>
          <t>x</t>
        </is>
      </c>
      <c r="AL10" s="56" t="inlineStr">
        <is>
          <t>x</t>
        </is>
      </c>
      <c r="AM10" s="56" t="n"/>
      <c r="AN10" s="56" t="n"/>
      <c r="AO10" s="56" t="n"/>
      <c r="AP10" s="56" t="n"/>
      <c r="AQ10" s="64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2" t="n"/>
      <c r="BB10" s="62" t="n"/>
      <c r="BC10" s="62" t="n"/>
      <c r="BD10" s="62" t="n"/>
      <c r="BE10" s="62" t="n"/>
      <c r="BF10" s="62" t="n"/>
      <c r="BG10" s="62" t="n"/>
      <c r="BH10" s="62" t="n"/>
      <c r="BI10" s="62" t="n"/>
      <c r="BJ10" s="62" t="n"/>
      <c r="BK10" s="62" t="n"/>
      <c r="BL10" s="62" t="n"/>
      <c r="BM10" s="62" t="n"/>
      <c r="BN10" s="62" t="n"/>
      <c r="BO10" s="62" t="n"/>
      <c r="BP10" s="62" t="n"/>
      <c r="BQ10" s="62" t="n"/>
      <c r="BR10" s="62" t="n"/>
      <c r="BS10" s="62" t="n"/>
      <c r="BT10" s="62" t="n"/>
      <c r="BU10" s="62" t="n"/>
      <c r="BV10" s="62" t="n"/>
      <c r="BW10" s="62" t="n"/>
      <c r="BX10" s="62" t="n"/>
      <c r="BY10" s="62" t="n"/>
      <c r="BZ10" s="62" t="n"/>
      <c r="CA10" s="62" t="n"/>
      <c r="CB10" s="62" t="n"/>
      <c r="EU10" s="30" t="n"/>
      <c r="EV10" s="30" t="n"/>
      <c r="EW10" s="30" t="n"/>
    </row>
    <row r="11" ht="15" customHeight="1">
      <c r="A11" s="48" t="inlineStr">
        <is>
          <t>País</t>
        </is>
      </c>
      <c r="B11" s="62" t="n"/>
      <c r="C11" s="62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4" t="n"/>
      <c r="AR11" s="62" t="n"/>
      <c r="AS11" s="62" t="n"/>
      <c r="AT11" s="62" t="n"/>
      <c r="AU11" s="62" t="n"/>
      <c r="AV11" s="62" t="n"/>
      <c r="AW11" s="62" t="n"/>
      <c r="AX11" s="62" t="n"/>
      <c r="AY11" s="62" t="n"/>
      <c r="AZ11" s="62" t="n"/>
      <c r="BA11" s="62" t="n"/>
      <c r="BB11" s="62" t="n"/>
      <c r="BC11" s="62" t="n"/>
      <c r="BD11" s="62" t="n"/>
      <c r="BE11" s="62" t="n"/>
      <c r="BF11" s="62" t="n"/>
      <c r="BG11" s="62" t="n"/>
      <c r="BH11" s="62" t="n"/>
      <c r="BI11" s="62" t="n"/>
      <c r="BJ11" s="62" t="n"/>
      <c r="BK11" s="62" t="n"/>
      <c r="BL11" s="62" t="n"/>
      <c r="BM11" s="62" t="n"/>
      <c r="BN11" s="62" t="n"/>
      <c r="BO11" s="62" t="n"/>
      <c r="BP11" s="62" t="n"/>
      <c r="BQ11" s="62" t="n"/>
      <c r="BR11" s="62" t="n"/>
      <c r="BS11" s="62" t="n"/>
      <c r="BT11" s="62" t="n"/>
      <c r="BU11" s="62" t="n"/>
      <c r="BV11" s="62" t="n"/>
      <c r="BW11" s="62" t="n"/>
      <c r="BX11" s="62" t="n"/>
      <c r="BY11" s="62" t="n"/>
      <c r="BZ11" s="62" t="n"/>
      <c r="CA11" s="62" t="n"/>
      <c r="CB11" s="62" t="n"/>
      <c r="EU11" s="30" t="n"/>
      <c r="EV11" s="30" t="n"/>
      <c r="EW11" s="30" t="n"/>
    </row>
    <row r="12" ht="15" customHeight="1">
      <c r="A12" s="46" t="inlineStr">
        <is>
          <t>Seleccionar opción</t>
        </is>
      </c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56" t="inlineStr">
        <is>
          <t>x</t>
        </is>
      </c>
      <c r="S12" s="56" t="inlineStr">
        <is>
          <t>x</t>
        </is>
      </c>
      <c r="T12" s="56" t="inlineStr">
        <is>
          <t>x</t>
        </is>
      </c>
      <c r="U12" s="56" t="inlineStr">
        <is>
          <t>x</t>
        </is>
      </c>
      <c r="V12" s="56" t="inlineStr">
        <is>
          <t>x</t>
        </is>
      </c>
      <c r="W12" s="56" t="inlineStr">
        <is>
          <t>x</t>
        </is>
      </c>
      <c r="X12" s="56" t="inlineStr">
        <is>
          <t>x</t>
        </is>
      </c>
      <c r="Y12" s="56" t="inlineStr">
        <is>
          <t>x</t>
        </is>
      </c>
      <c r="Z12" s="56" t="n"/>
      <c r="AA12" s="56" t="n"/>
      <c r="AB12" s="56" t="n"/>
      <c r="AC12" s="56" t="inlineStr">
        <is>
          <t>x</t>
        </is>
      </c>
      <c r="AD12" s="56" t="inlineStr">
        <is>
          <t>x</t>
        </is>
      </c>
      <c r="AE12" s="56" t="inlineStr">
        <is>
          <t>x</t>
        </is>
      </c>
      <c r="AF12" s="56" t="inlineStr">
        <is>
          <t>x</t>
        </is>
      </c>
      <c r="AG12" s="56" t="inlineStr">
        <is>
          <t>x</t>
        </is>
      </c>
      <c r="AH12" s="56" t="inlineStr">
        <is>
          <t>x</t>
        </is>
      </c>
      <c r="AI12" s="56" t="inlineStr">
        <is>
          <t>x</t>
        </is>
      </c>
      <c r="AJ12" s="56" t="inlineStr">
        <is>
          <t>x</t>
        </is>
      </c>
      <c r="AK12" s="56" t="inlineStr">
        <is>
          <t>x</t>
        </is>
      </c>
      <c r="AL12" s="56" t="inlineStr">
        <is>
          <t>x</t>
        </is>
      </c>
      <c r="AM12" s="62" t="n"/>
      <c r="AN12" s="62" t="n"/>
      <c r="AO12" s="62" t="n"/>
      <c r="AP12" s="62" t="n"/>
      <c r="AQ12" s="64" t="n"/>
      <c r="AR12" s="62" t="n"/>
      <c r="AS12" s="62" t="n"/>
      <c r="AT12" s="62" t="n"/>
      <c r="AU12" s="62" t="n"/>
      <c r="AV12" s="62" t="n"/>
      <c r="AW12" s="62" t="n"/>
      <c r="AX12" s="62" t="n"/>
      <c r="AY12" s="62" t="n"/>
      <c r="AZ12" s="62" t="n"/>
      <c r="BA12" s="62" t="n"/>
      <c r="BB12" s="62" t="n"/>
      <c r="BC12" s="62" t="n"/>
      <c r="BD12" s="62" t="n"/>
      <c r="BE12" s="62" t="n"/>
      <c r="BF12" s="62" t="n"/>
      <c r="BG12" s="62" t="n"/>
      <c r="BH12" s="62" t="n"/>
      <c r="BI12" s="62" t="n"/>
      <c r="BJ12" s="62" t="n"/>
      <c r="BK12" s="62" t="n"/>
      <c r="BL12" s="62" t="n"/>
      <c r="BM12" s="62" t="n"/>
      <c r="BN12" s="62" t="n"/>
      <c r="BO12" s="62" t="n"/>
      <c r="BP12" s="62" t="n"/>
      <c r="BQ12" s="62" t="n"/>
      <c r="BR12" s="62" t="n"/>
      <c r="BS12" s="62" t="n"/>
      <c r="BT12" s="62" t="n"/>
      <c r="BU12" s="62" t="n"/>
      <c r="BV12" s="62" t="n"/>
      <c r="BW12" s="62" t="n"/>
      <c r="BX12" s="62" t="n"/>
      <c r="BY12" s="62" t="n"/>
      <c r="BZ12" s="62" t="n"/>
      <c r="CA12" s="62" t="n"/>
      <c r="CB12" s="62" t="n"/>
      <c r="EU12" s="30" t="n"/>
      <c r="EV12" s="30" t="n"/>
      <c r="EW12" s="30" t="n"/>
    </row>
    <row r="13" ht="15" customHeight="1">
      <c r="A13" s="46" t="inlineStr">
        <is>
          <t>No seleccionar opción</t>
        </is>
      </c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inlineStr">
        <is>
          <t>x</t>
        </is>
      </c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62" t="n"/>
      <c r="AN13" s="62" t="n"/>
      <c r="AO13" s="62" t="n"/>
      <c r="AP13" s="62" t="n"/>
      <c r="AQ13" s="64" t="n"/>
      <c r="AR13" s="62" t="n"/>
      <c r="AS13" s="62" t="n"/>
      <c r="AT13" s="62" t="n"/>
      <c r="AU13" s="62" t="n"/>
      <c r="AV13" s="62" t="n"/>
      <c r="AW13" s="62" t="n"/>
      <c r="AX13" s="62" t="n"/>
      <c r="AY13" s="62" t="n"/>
      <c r="AZ13" s="62" t="n"/>
      <c r="BA13" s="62" t="n"/>
      <c r="BB13" s="62" t="n"/>
      <c r="BC13" s="62" t="n"/>
      <c r="BD13" s="62" t="n"/>
      <c r="BE13" s="62" t="n"/>
      <c r="BF13" s="62" t="n"/>
      <c r="BG13" s="62" t="n"/>
      <c r="BH13" s="62" t="n"/>
      <c r="BI13" s="62" t="n"/>
      <c r="BJ13" s="62" t="n"/>
      <c r="BK13" s="62" t="n"/>
      <c r="BL13" s="62" t="n"/>
      <c r="BM13" s="62" t="n"/>
      <c r="BN13" s="62" t="n"/>
      <c r="BO13" s="62" t="n"/>
      <c r="BP13" s="62" t="n"/>
      <c r="BQ13" s="62" t="n"/>
      <c r="BR13" s="62" t="n"/>
      <c r="BS13" s="62" t="n"/>
      <c r="BT13" s="62" t="n"/>
      <c r="BU13" s="62" t="n"/>
      <c r="BV13" s="62" t="n"/>
      <c r="BW13" s="62" t="n"/>
      <c r="BX13" s="62" t="n"/>
      <c r="BY13" s="62" t="n"/>
      <c r="BZ13" s="62" t="n"/>
      <c r="CA13" s="62" t="n"/>
      <c r="CB13" s="62" t="n"/>
      <c r="EU13" s="30" t="n"/>
      <c r="EV13" s="30" t="n"/>
      <c r="EW13" s="30" t="n"/>
    </row>
    <row r="14" ht="15" customHeight="1">
      <c r="A14" s="47" t="inlineStr">
        <is>
          <t>Tipo de documento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EU14" s="30" t="n"/>
      <c r="EV14" s="30" t="n"/>
      <c r="EW14" s="30" t="n"/>
    </row>
    <row r="15" ht="15" customHeight="1">
      <c r="A15" s="52" t="inlineStr">
        <is>
          <t>Cédula de ciudadanía</t>
        </is>
      </c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56" t="inlineStr">
        <is>
          <t>x</t>
        </is>
      </c>
      <c r="S15" s="56" t="inlineStr">
        <is>
          <t>x</t>
        </is>
      </c>
      <c r="T15" s="56" t="inlineStr">
        <is>
          <t>x</t>
        </is>
      </c>
      <c r="U15" s="56" t="inlineStr">
        <is>
          <t>x</t>
        </is>
      </c>
      <c r="V15" s="56" t="inlineStr">
        <is>
          <t>x</t>
        </is>
      </c>
      <c r="W15" s="56" t="inlineStr">
        <is>
          <t>x</t>
        </is>
      </c>
      <c r="X15" s="56" t="inlineStr">
        <is>
          <t>x</t>
        </is>
      </c>
      <c r="Y15" s="56" t="inlineStr">
        <is>
          <t>x</t>
        </is>
      </c>
      <c r="Z15" s="56" t="inlineStr">
        <is>
          <t>x</t>
        </is>
      </c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inlineStr">
        <is>
          <t>x</t>
        </is>
      </c>
      <c r="AS15" s="56" t="inlineStr">
        <is>
          <t>x</t>
        </is>
      </c>
      <c r="AT15" s="56" t="inlineStr">
        <is>
          <t>x</t>
        </is>
      </c>
      <c r="AU15" s="56" t="inlineStr">
        <is>
          <t>x</t>
        </is>
      </c>
      <c r="AV15" s="56" t="inlineStr">
        <is>
          <t>x</t>
        </is>
      </c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inlineStr">
        <is>
          <t>x</t>
        </is>
      </c>
      <c r="BF15" s="56" t="n"/>
      <c r="BG15" s="56" t="n"/>
      <c r="BH15" s="56" t="inlineStr">
        <is>
          <t>x</t>
        </is>
      </c>
      <c r="BI15" s="56" t="n"/>
      <c r="BJ15" s="56" t="n"/>
      <c r="BK15" s="56" t="n"/>
      <c r="BL15" s="56" t="n"/>
      <c r="BM15" s="56" t="inlineStr">
        <is>
          <t>x</t>
        </is>
      </c>
      <c r="BN15" s="56" t="inlineStr">
        <is>
          <t>x</t>
        </is>
      </c>
      <c r="BO15" s="56" t="inlineStr">
        <is>
          <t>x</t>
        </is>
      </c>
      <c r="BP15" s="56" t="inlineStr">
        <is>
          <t>x</t>
        </is>
      </c>
      <c r="BQ15" s="56" t="n"/>
      <c r="BR15" s="56" t="n"/>
      <c r="BS15" s="56" t="n"/>
      <c r="BT15" s="56" t="n"/>
      <c r="BU15" s="56" t="n"/>
      <c r="BV15" s="56" t="n"/>
      <c r="BW15" s="56" t="n"/>
      <c r="BX15" s="56" t="n"/>
      <c r="BY15" s="56" t="inlineStr">
        <is>
          <t>x</t>
        </is>
      </c>
      <c r="BZ15" s="56" t="n"/>
      <c r="CA15" s="56" t="n"/>
      <c r="CB15" s="56" t="inlineStr">
        <is>
          <t>x</t>
        </is>
      </c>
      <c r="EU15" s="30" t="n"/>
      <c r="EV15" s="30" t="n"/>
      <c r="EW15" s="30" t="n"/>
    </row>
    <row r="16" ht="15" customHeight="1">
      <c r="A16" s="52" t="inlineStr">
        <is>
          <t>Cédula de extrangería</t>
        </is>
      </c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inlineStr">
        <is>
          <t>x</t>
        </is>
      </c>
      <c r="AD16" s="56" t="inlineStr">
        <is>
          <t>x</t>
        </is>
      </c>
      <c r="AE16" s="56" t="inlineStr">
        <is>
          <t>x</t>
        </is>
      </c>
      <c r="AF16" s="56" t="inlineStr">
        <is>
          <t>x</t>
        </is>
      </c>
      <c r="AG16" s="56" t="inlineStr">
        <is>
          <t>x</t>
        </is>
      </c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inlineStr">
        <is>
          <t>x</t>
        </is>
      </c>
      <c r="AX16" s="56" t="inlineStr">
        <is>
          <t>x</t>
        </is>
      </c>
      <c r="AY16" s="56" t="inlineStr">
        <is>
          <t>x</t>
        </is>
      </c>
      <c r="AZ16" s="56" t="inlineStr">
        <is>
          <t>x</t>
        </is>
      </c>
      <c r="BA16" s="56" t="n"/>
      <c r="BB16" s="56" t="n"/>
      <c r="BC16" s="56" t="n"/>
      <c r="BD16" s="56" t="n"/>
      <c r="BE16" s="56" t="n"/>
      <c r="BF16" s="56" t="inlineStr">
        <is>
          <t>x</t>
        </is>
      </c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inlineStr">
        <is>
          <t>x</t>
        </is>
      </c>
      <c r="BR16" s="56" t="inlineStr">
        <is>
          <t>x</t>
        </is>
      </c>
      <c r="BS16" s="56" t="inlineStr">
        <is>
          <t>x</t>
        </is>
      </c>
      <c r="BT16" s="56" t="inlineStr">
        <is>
          <t>x</t>
        </is>
      </c>
      <c r="BU16" s="56" t="n"/>
      <c r="BV16" s="56" t="n"/>
      <c r="BW16" s="56" t="n"/>
      <c r="BX16" s="56" t="n"/>
      <c r="BY16" s="56" t="n"/>
      <c r="BZ16" s="56" t="inlineStr">
        <is>
          <t>x</t>
        </is>
      </c>
      <c r="CA16" s="56" t="n"/>
      <c r="CB16" s="56" t="n"/>
      <c r="EU16" s="30" t="n"/>
      <c r="EV16" s="30" t="n"/>
      <c r="EW16" s="30" t="n"/>
    </row>
    <row r="17" ht="15" customHeight="1">
      <c r="A17" s="52" t="inlineStr">
        <is>
          <t>Permiso de protección temporal</t>
        </is>
      </c>
      <c r="B17" s="62" t="n"/>
      <c r="C17" s="62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inlineStr">
        <is>
          <t>x</t>
        </is>
      </c>
      <c r="AI17" s="56" t="inlineStr">
        <is>
          <t>x</t>
        </is>
      </c>
      <c r="AJ17" s="56" t="inlineStr">
        <is>
          <t>x</t>
        </is>
      </c>
      <c r="AK17" s="56" t="inlineStr">
        <is>
          <t>x</t>
        </is>
      </c>
      <c r="AL17" s="56" t="inlineStr">
        <is>
          <t>x</t>
        </is>
      </c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inlineStr">
        <is>
          <t>x</t>
        </is>
      </c>
      <c r="BB17" s="56" t="inlineStr">
        <is>
          <t>x</t>
        </is>
      </c>
      <c r="BC17" s="56" t="inlineStr">
        <is>
          <t>x</t>
        </is>
      </c>
      <c r="BD17" s="56" t="inlineStr">
        <is>
          <t>x</t>
        </is>
      </c>
      <c r="BE17" s="56" t="n"/>
      <c r="BF17" s="56" t="n"/>
      <c r="BG17" s="56" t="inlineStr">
        <is>
          <t>x</t>
        </is>
      </c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  <c r="BU17" s="56" t="inlineStr">
        <is>
          <t>x</t>
        </is>
      </c>
      <c r="BV17" s="56" t="inlineStr">
        <is>
          <t>x</t>
        </is>
      </c>
      <c r="BW17" s="56" t="inlineStr">
        <is>
          <t>x</t>
        </is>
      </c>
      <c r="BX17" s="56" t="inlineStr">
        <is>
          <t>x</t>
        </is>
      </c>
      <c r="BY17" s="56" t="n"/>
      <c r="BZ17" s="56" t="n"/>
      <c r="CA17" s="56" t="inlineStr">
        <is>
          <t>x</t>
        </is>
      </c>
      <c r="CB17" s="56" t="n"/>
      <c r="EU17" s="30" t="n"/>
      <c r="EV17" s="30" t="n"/>
      <c r="EW17" s="30" t="n"/>
    </row>
    <row r="18" ht="15" customHeight="1">
      <c r="A18" s="47" t="inlineStr">
        <is>
          <t>Número de documento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EU18" s="30" t="n"/>
      <c r="EV18" s="30" t="n"/>
      <c r="EW18" s="30" t="n"/>
    </row>
    <row r="19" hidden="1" ht="15" customHeight="1">
      <c r="A19" s="52" t="inlineStr">
        <is>
          <t>Perteneciente a un cliente</t>
        </is>
      </c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inlineStr">
        <is>
          <t>x</t>
        </is>
      </c>
      <c r="AS19" s="56" t="n"/>
      <c r="AT19" s="56" t="inlineStr">
        <is>
          <t>x</t>
        </is>
      </c>
      <c r="AU19" s="56" t="n"/>
      <c r="AV19" s="56" t="n"/>
      <c r="AW19" s="56" t="inlineStr">
        <is>
          <t>x</t>
        </is>
      </c>
      <c r="AX19" s="56" t="n"/>
      <c r="AY19" s="56" t="inlineStr">
        <is>
          <t>x</t>
        </is>
      </c>
      <c r="AZ19" s="56" t="n"/>
      <c r="BA19" s="56" t="inlineStr">
        <is>
          <t>x</t>
        </is>
      </c>
      <c r="BB19" s="56" t="n"/>
      <c r="BC19" s="56" t="inlineStr">
        <is>
          <t>x</t>
        </is>
      </c>
      <c r="BD19" s="56" t="n"/>
      <c r="BE19" s="56" t="inlineStr">
        <is>
          <t>x</t>
        </is>
      </c>
      <c r="BF19" s="56" t="inlineStr">
        <is>
          <t>x</t>
        </is>
      </c>
      <c r="BG19" s="56" t="inlineStr">
        <is>
          <t>x</t>
        </is>
      </c>
      <c r="BH19" s="56" t="inlineStr">
        <is>
          <t>x</t>
        </is>
      </c>
      <c r="BI19" s="56" t="n"/>
      <c r="BJ19" s="56" t="n"/>
      <c r="BK19" s="56" t="n"/>
      <c r="BL19" s="56" t="n"/>
      <c r="BM19" s="56" t="inlineStr">
        <is>
          <t>x</t>
        </is>
      </c>
      <c r="BN19" s="56" t="n"/>
      <c r="BO19" s="56" t="n"/>
      <c r="BP19" s="56" t="inlineStr">
        <is>
          <t>x</t>
        </is>
      </c>
      <c r="BQ19" s="56" t="inlineStr">
        <is>
          <t>x</t>
        </is>
      </c>
      <c r="BR19" s="56" t="n"/>
      <c r="BS19" s="56" t="n"/>
      <c r="BT19" s="56" t="inlineStr">
        <is>
          <t>x</t>
        </is>
      </c>
      <c r="BU19" s="56" t="inlineStr">
        <is>
          <t>x</t>
        </is>
      </c>
      <c r="BV19" s="56" t="n"/>
      <c r="BW19" s="56" t="n"/>
      <c r="BX19" s="56" t="inlineStr">
        <is>
          <t>x</t>
        </is>
      </c>
      <c r="BY19" s="56" t="inlineStr">
        <is>
          <t>x</t>
        </is>
      </c>
      <c r="BZ19" s="56" t="inlineStr">
        <is>
          <t>x</t>
        </is>
      </c>
      <c r="CA19" s="56" t="inlineStr">
        <is>
          <t>x</t>
        </is>
      </c>
      <c r="CB19" s="56" t="inlineStr">
        <is>
          <t>x</t>
        </is>
      </c>
      <c r="EU19" s="30" t="n"/>
      <c r="EV19" s="30" t="n"/>
      <c r="EW19" s="30" t="n"/>
    </row>
    <row r="20" ht="15" customHeight="1">
      <c r="A20" s="52" t="inlineStr">
        <is>
          <t>No perteneciente a un cliente</t>
        </is>
      </c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56" t="inlineStr">
        <is>
          <t>x</t>
        </is>
      </c>
      <c r="S20" s="56" t="inlineStr">
        <is>
          <t>x</t>
        </is>
      </c>
      <c r="T20" s="56" t="inlineStr">
        <is>
          <t>x</t>
        </is>
      </c>
      <c r="U20" s="56" t="inlineStr">
        <is>
          <t>x</t>
        </is>
      </c>
      <c r="V20" s="56" t="inlineStr">
        <is>
          <t>x</t>
        </is>
      </c>
      <c r="W20" s="56" t="inlineStr">
        <is>
          <t>x</t>
        </is>
      </c>
      <c r="X20" s="56" t="inlineStr">
        <is>
          <t>x</t>
        </is>
      </c>
      <c r="Y20" s="56" t="inlineStr">
        <is>
          <t>x</t>
        </is>
      </c>
      <c r="Z20" s="56" t="n"/>
      <c r="AA20" s="56" t="n"/>
      <c r="AB20" s="56" t="n"/>
      <c r="AC20" s="56" t="inlineStr">
        <is>
          <t>x</t>
        </is>
      </c>
      <c r="AD20" s="56" t="inlineStr">
        <is>
          <t>x</t>
        </is>
      </c>
      <c r="AE20" s="56" t="inlineStr">
        <is>
          <t>x</t>
        </is>
      </c>
      <c r="AF20" s="56" t="inlineStr">
        <is>
          <t>x</t>
        </is>
      </c>
      <c r="AG20" s="56" t="inlineStr">
        <is>
          <t>x</t>
        </is>
      </c>
      <c r="AH20" s="56" t="inlineStr">
        <is>
          <t>x</t>
        </is>
      </c>
      <c r="AI20" s="56" t="inlineStr">
        <is>
          <t>x</t>
        </is>
      </c>
      <c r="AJ20" s="56" t="inlineStr">
        <is>
          <t>x</t>
        </is>
      </c>
      <c r="AK20" s="56" t="inlineStr">
        <is>
          <t>x</t>
        </is>
      </c>
      <c r="AL20" s="56" t="inlineStr">
        <is>
          <t>x</t>
        </is>
      </c>
      <c r="AM20" s="56" t="n"/>
      <c r="AN20" s="56" t="n"/>
      <c r="AO20" s="56" t="n"/>
      <c r="AP20" s="56" t="n"/>
      <c r="AQ20" s="56" t="n"/>
      <c r="AR20" s="56" t="n"/>
      <c r="AS20" s="56" t="inlineStr">
        <is>
          <t>x</t>
        </is>
      </c>
      <c r="AT20" s="56" t="n"/>
      <c r="AU20" s="56" t="n"/>
      <c r="AV20" s="56" t="n"/>
      <c r="AW20" s="56" t="n"/>
      <c r="AX20" s="56" t="inlineStr">
        <is>
          <t>x</t>
        </is>
      </c>
      <c r="AY20" s="56" t="n"/>
      <c r="AZ20" s="56" t="n"/>
      <c r="BA20" s="56" t="n"/>
      <c r="BB20" s="56" t="inlineStr">
        <is>
          <t>x</t>
        </is>
      </c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inlineStr">
        <is>
          <t>x</t>
        </is>
      </c>
      <c r="BO20" s="56" t="n"/>
      <c r="BP20" s="56" t="n"/>
      <c r="BQ20" s="56" t="n"/>
      <c r="BR20" s="56" t="inlineStr">
        <is>
          <t>x</t>
        </is>
      </c>
      <c r="BS20" s="56" t="n"/>
      <c r="BT20" s="56" t="n"/>
      <c r="BU20" s="56" t="n"/>
      <c r="BV20" s="56" t="inlineStr">
        <is>
          <t>x</t>
        </is>
      </c>
      <c r="BW20" s="56" t="n"/>
      <c r="BX20" s="56" t="n"/>
      <c r="BY20" s="56" t="n"/>
      <c r="BZ20" s="56" t="n"/>
      <c r="CA20" s="56" t="n"/>
      <c r="CB20" s="56" t="n"/>
      <c r="EU20" s="30" t="n"/>
      <c r="EV20" s="30" t="n"/>
      <c r="EW20" s="30" t="n"/>
    </row>
    <row r="21" ht="15" customHeight="1">
      <c r="A21" s="61" t="inlineStr">
        <is>
          <t>No válido o vacío</t>
        </is>
      </c>
      <c r="B21" s="62" t="n"/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inlineStr">
        <is>
          <t>x</t>
        </is>
      </c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inlineStr">
        <is>
          <t>x</t>
        </is>
      </c>
      <c r="AW21" s="56" t="n"/>
      <c r="AX21" s="56" t="n"/>
      <c r="AY21" s="56" t="n"/>
      <c r="AZ21" s="56" t="inlineStr">
        <is>
          <t>x</t>
        </is>
      </c>
      <c r="BA21" s="56" t="n"/>
      <c r="BB21" s="56" t="n"/>
      <c r="BC21" s="56" t="n"/>
      <c r="BD21" s="56" t="inlineStr">
        <is>
          <t>x</t>
        </is>
      </c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inlineStr">
        <is>
          <t>x</t>
        </is>
      </c>
      <c r="BP21" s="56" t="n"/>
      <c r="BQ21" s="56" t="n"/>
      <c r="BR21" s="56" t="n"/>
      <c r="BS21" s="56" t="inlineStr">
        <is>
          <t>x</t>
        </is>
      </c>
      <c r="BT21" s="56" t="n"/>
      <c r="BU21" s="56" t="n"/>
      <c r="BV21" s="56" t="n"/>
      <c r="BW21" s="56" t="inlineStr">
        <is>
          <t>x</t>
        </is>
      </c>
      <c r="BX21" s="56" t="n"/>
      <c r="BY21" s="56" t="n"/>
      <c r="BZ21" s="56" t="n"/>
      <c r="CA21" s="56" t="n"/>
      <c r="CB21" s="56" t="n"/>
      <c r="EU21" s="30" t="n"/>
      <c r="EV21" s="30" t="n"/>
      <c r="EW21" s="30" t="n"/>
    </row>
    <row r="22" ht="15" customHeight="1">
      <c r="A22" s="47" t="inlineStr">
        <is>
          <t>Cuenta de ahorro</t>
        </is>
      </c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  <c r="AZ22" s="62" t="n"/>
      <c r="BA22" s="62" t="n"/>
      <c r="BB22" s="62" t="n"/>
      <c r="BC22" s="62" t="n"/>
      <c r="BD22" s="62" t="n"/>
      <c r="BE22" s="62" t="n"/>
      <c r="BF22" s="62" t="n"/>
      <c r="BG22" s="62" t="n"/>
      <c r="BH22" s="62" t="n"/>
      <c r="BI22" s="62" t="n"/>
      <c r="BJ22" s="62" t="n"/>
      <c r="BK22" s="62" t="n"/>
      <c r="BL22" s="62" t="n"/>
      <c r="BM22" s="62" t="n"/>
      <c r="BN22" s="62" t="n"/>
      <c r="BO22" s="62" t="n"/>
      <c r="BP22" s="62" t="n"/>
      <c r="BQ22" s="62" t="n"/>
      <c r="BR22" s="62" t="n"/>
      <c r="BS22" s="62" t="n"/>
      <c r="BT22" s="62" t="n"/>
      <c r="BU22" s="62" t="n"/>
      <c r="BV22" s="62" t="n"/>
      <c r="BW22" s="62" t="n"/>
      <c r="BX22" s="62" t="n"/>
      <c r="BY22" s="62" t="n"/>
      <c r="BZ22" s="62" t="n"/>
      <c r="CA22" s="62" t="n"/>
      <c r="CB22" s="62" t="n"/>
      <c r="EU22" s="30" t="n"/>
      <c r="EV22" s="30" t="n"/>
      <c r="EW22" s="30" t="n"/>
    </row>
    <row r="23" ht="15" customHeight="1">
      <c r="A23" s="52" t="inlineStr">
        <is>
          <t>Vigentes</t>
        </is>
      </c>
      <c r="B23" s="56" t="inlineStr">
        <is>
          <t>x</t>
        </is>
      </c>
      <c r="C23" s="56" t="inlineStr">
        <is>
          <t>x</t>
        </is>
      </c>
      <c r="D23" s="56" t="n"/>
      <c r="E23" s="56" t="n"/>
      <c r="F23" s="56" t="n"/>
      <c r="G23" s="56" t="inlineStr">
        <is>
          <t>x</t>
        </is>
      </c>
      <c r="H23" s="56" t="inlineStr">
        <is>
          <t>x</t>
        </is>
      </c>
      <c r="I23" s="56" t="inlineStr">
        <is>
          <t>x</t>
        </is>
      </c>
      <c r="J23" s="56" t="inlineStr">
        <is>
          <t>x</t>
        </is>
      </c>
      <c r="K23" s="56" t="inlineStr">
        <is>
          <t>x</t>
        </is>
      </c>
      <c r="L23" s="56" t="inlineStr">
        <is>
          <t>x</t>
        </is>
      </c>
      <c r="M23" s="56" t="inlineStr">
        <is>
          <t>x</t>
        </is>
      </c>
      <c r="N23" s="56" t="inlineStr">
        <is>
          <t>x</t>
        </is>
      </c>
      <c r="O23" s="56" t="n"/>
      <c r="P23" s="56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56" t="inlineStr">
        <is>
          <t>x</t>
        </is>
      </c>
      <c r="AS23" s="56" t="inlineStr">
        <is>
          <t>x</t>
        </is>
      </c>
      <c r="AT23" s="56" t="inlineStr">
        <is>
          <t>x</t>
        </is>
      </c>
      <c r="AU23" s="56" t="n"/>
      <c r="AV23" s="56" t="n"/>
      <c r="AW23" s="56" t="inlineStr">
        <is>
          <t>x</t>
        </is>
      </c>
      <c r="AX23" s="56" t="inlineStr">
        <is>
          <t>x</t>
        </is>
      </c>
      <c r="AY23" s="56" t="inlineStr">
        <is>
          <t>x</t>
        </is>
      </c>
      <c r="AZ23" s="56" t="n"/>
      <c r="BA23" s="56" t="inlineStr">
        <is>
          <t>x</t>
        </is>
      </c>
      <c r="BB23" s="56" t="inlineStr">
        <is>
          <t>x</t>
        </is>
      </c>
      <c r="BC23" s="56" t="inlineStr">
        <is>
          <t>x</t>
        </is>
      </c>
      <c r="BD23" s="56" t="n"/>
      <c r="BM23" s="56" t="inlineStr">
        <is>
          <t>x</t>
        </is>
      </c>
      <c r="BN23" s="56" t="inlineStr">
        <is>
          <t>x</t>
        </is>
      </c>
      <c r="BO23" s="56" t="inlineStr">
        <is>
          <t>x</t>
        </is>
      </c>
      <c r="BP23" s="56" t="n"/>
      <c r="BQ23" s="56" t="inlineStr">
        <is>
          <t>x</t>
        </is>
      </c>
      <c r="BR23" s="56" t="inlineStr">
        <is>
          <t>x</t>
        </is>
      </c>
      <c r="BS23" s="56" t="inlineStr">
        <is>
          <t>x</t>
        </is>
      </c>
      <c r="BT23" s="56" t="n"/>
      <c r="BU23" s="56" t="inlineStr">
        <is>
          <t>x</t>
        </is>
      </c>
      <c r="BV23" s="56" t="inlineStr">
        <is>
          <t>x</t>
        </is>
      </c>
      <c r="BW23" s="56" t="inlineStr">
        <is>
          <t>x</t>
        </is>
      </c>
      <c r="BX23" s="56" t="n"/>
      <c r="EU23" s="30" t="n"/>
      <c r="EV23" s="30" t="n"/>
      <c r="EW23" s="30" t="n"/>
    </row>
    <row r="24" ht="15" customHeight="1">
      <c r="A24" s="52" t="inlineStr">
        <is>
          <t>No vigentes</t>
        </is>
      </c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inlineStr">
        <is>
          <t>x</t>
        </is>
      </c>
      <c r="P24" s="56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  <c r="BU24" s="56" t="n"/>
      <c r="BV24" s="56" t="n"/>
      <c r="BW24" s="56" t="n"/>
      <c r="BX24" s="56" t="n"/>
      <c r="EU24" s="30" t="n"/>
      <c r="EV24" s="30" t="n"/>
      <c r="EW24" s="30" t="n"/>
    </row>
    <row r="25" ht="15" customHeight="1">
      <c r="A25" s="52" t="inlineStr">
        <is>
          <t>Propia</t>
        </is>
      </c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inlineStr">
        <is>
          <t>x</t>
        </is>
      </c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56" t="n"/>
      <c r="AS25" s="56" t="n"/>
      <c r="AT25" s="56" t="n"/>
      <c r="AU25" s="56" t="n"/>
      <c r="AV25" s="56" t="inlineStr">
        <is>
          <t>x</t>
        </is>
      </c>
      <c r="AW25" s="56" t="n"/>
      <c r="AX25" s="56" t="n"/>
      <c r="AY25" s="56" t="n"/>
      <c r="AZ25" s="56" t="inlineStr">
        <is>
          <t>x</t>
        </is>
      </c>
      <c r="BA25" s="56" t="n"/>
      <c r="BB25" s="56" t="n"/>
      <c r="BC25" s="56" t="n"/>
      <c r="BD25" s="56" t="inlineStr">
        <is>
          <t>x</t>
        </is>
      </c>
      <c r="BM25" s="56" t="n"/>
      <c r="BN25" s="56" t="n"/>
      <c r="BO25" s="56" t="n"/>
      <c r="BP25" s="56" t="inlineStr">
        <is>
          <t>x</t>
        </is>
      </c>
      <c r="BQ25" s="56" t="n"/>
      <c r="BR25" s="56" t="n"/>
      <c r="BS25" s="56" t="n"/>
      <c r="BT25" s="56" t="inlineStr">
        <is>
          <t>x</t>
        </is>
      </c>
      <c r="BU25" s="56" t="n"/>
      <c r="BV25" s="56" t="n"/>
      <c r="BW25" s="56" t="n"/>
      <c r="BX25" s="56" t="inlineStr">
        <is>
          <t>x</t>
        </is>
      </c>
      <c r="EU25" s="30" t="n"/>
      <c r="EV25" s="30" t="n"/>
      <c r="EW25" s="30" t="n"/>
    </row>
    <row r="26" ht="15" customHeight="1">
      <c r="A26" s="47" t="inlineStr">
        <is>
          <t>Datos persona</t>
        </is>
      </c>
      <c r="B26" s="62" t="n"/>
      <c r="C26" s="6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  <c r="AZ26" s="62" t="n"/>
      <c r="BA26" s="62" t="n"/>
      <c r="BB26" s="62" t="n"/>
      <c r="BC26" s="62" t="n"/>
      <c r="BD26" s="62" t="n"/>
      <c r="BM26" s="62" t="n"/>
      <c r="BN26" s="62" t="n"/>
      <c r="BO26" s="62" t="n"/>
      <c r="BP26" s="62" t="n"/>
      <c r="BQ26" s="62" t="n"/>
      <c r="BR26" s="62" t="n"/>
      <c r="BS26" s="62" t="n"/>
      <c r="BT26" s="62" t="n"/>
      <c r="BU26" s="62" t="n"/>
      <c r="BV26" s="62" t="n"/>
      <c r="BW26" s="62" t="n"/>
      <c r="BX26" s="62" t="n"/>
      <c r="EU26" s="30" t="n"/>
      <c r="EV26" s="30" t="n"/>
      <c r="EW26" s="30" t="n"/>
    </row>
    <row r="27" ht="15" customHeight="1">
      <c r="A27" s="47" t="inlineStr">
        <is>
          <t>Primer nombre</t>
        </is>
      </c>
      <c r="B27" s="62" t="n"/>
      <c r="C27" s="62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  <c r="AZ27" s="62" t="n"/>
      <c r="BA27" s="62" t="n"/>
      <c r="BB27" s="62" t="n"/>
      <c r="BC27" s="62" t="n"/>
      <c r="BD27" s="62" t="n"/>
      <c r="BM27" s="62" t="n"/>
      <c r="BN27" s="62" t="n"/>
      <c r="BO27" s="62" t="n"/>
      <c r="BP27" s="62" t="n"/>
      <c r="BQ27" s="62" t="n"/>
      <c r="BR27" s="62" t="n"/>
      <c r="BS27" s="62" t="n"/>
      <c r="BT27" s="62" t="n"/>
      <c r="BU27" s="62" t="n"/>
      <c r="BV27" s="62" t="n"/>
      <c r="BW27" s="62" t="n"/>
      <c r="BX27" s="62" t="n"/>
      <c r="EU27" s="30" t="n"/>
      <c r="EV27" s="30" t="n"/>
      <c r="EW27" s="30" t="n"/>
    </row>
    <row r="28" ht="15" customHeight="1">
      <c r="A28" s="52" t="inlineStr">
        <is>
          <t>Válido</t>
        </is>
      </c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56" t="inlineStr">
        <is>
          <t>x</t>
        </is>
      </c>
      <c r="S28" s="56" t="inlineStr">
        <is>
          <t>x</t>
        </is>
      </c>
      <c r="T28" s="56" t="inlineStr">
        <is>
          <t>x</t>
        </is>
      </c>
      <c r="U28" s="56" t="inlineStr">
        <is>
          <t>x</t>
        </is>
      </c>
      <c r="V28" s="56" t="inlineStr">
        <is>
          <t>x</t>
        </is>
      </c>
      <c r="W28" s="56" t="inlineStr">
        <is>
          <t>x</t>
        </is>
      </c>
      <c r="X28" s="56" t="inlineStr">
        <is>
          <t>x</t>
        </is>
      </c>
      <c r="Y28" s="56" t="inlineStr">
        <is>
          <t>x</t>
        </is>
      </c>
      <c r="Z28" s="56" t="n"/>
      <c r="AA28" s="56" t="n"/>
      <c r="AB28" s="56" t="n"/>
      <c r="AC28" s="56" t="inlineStr">
        <is>
          <t>x</t>
        </is>
      </c>
      <c r="AD28" s="56" t="inlineStr">
        <is>
          <t>x</t>
        </is>
      </c>
      <c r="AE28" s="56" t="inlineStr">
        <is>
          <t>x</t>
        </is>
      </c>
      <c r="AF28" s="56" t="inlineStr">
        <is>
          <t>x</t>
        </is>
      </c>
      <c r="AG28" s="56" t="inlineStr">
        <is>
          <t>x</t>
        </is>
      </c>
      <c r="AH28" s="56" t="inlineStr">
        <is>
          <t>x</t>
        </is>
      </c>
      <c r="AI28" s="56" t="inlineStr">
        <is>
          <t>x</t>
        </is>
      </c>
      <c r="AJ28" s="56" t="inlineStr">
        <is>
          <t>x</t>
        </is>
      </c>
      <c r="AK28" s="56" t="inlineStr">
        <is>
          <t>x</t>
        </is>
      </c>
      <c r="AL28" s="56" t="inlineStr">
        <is>
          <t>x</t>
        </is>
      </c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  <c r="AZ28" s="62" t="n"/>
      <c r="BA28" s="62" t="n"/>
      <c r="BB28" s="62" t="n"/>
      <c r="BC28" s="62" t="n"/>
      <c r="BD28" s="62" t="n"/>
      <c r="BM28" s="62" t="n"/>
      <c r="BN28" s="62" t="n"/>
      <c r="BO28" s="62" t="n"/>
      <c r="BP28" s="62" t="n"/>
      <c r="BQ28" s="62" t="n"/>
      <c r="BR28" s="62" t="n"/>
      <c r="BS28" s="62" t="n"/>
      <c r="BT28" s="62" t="n"/>
      <c r="BU28" s="62" t="n"/>
      <c r="BV28" s="62" t="n"/>
      <c r="BW28" s="62" t="n"/>
      <c r="BX28" s="62" t="n"/>
      <c r="EU28" s="30" t="n"/>
      <c r="EV28" s="30" t="n"/>
      <c r="EW28" s="30" t="n"/>
    </row>
    <row r="29" ht="15" customHeight="1">
      <c r="A29" s="52" t="inlineStr">
        <is>
          <t>Nulo o vacío</t>
        </is>
      </c>
      <c r="B29" s="62" t="n"/>
      <c r="C29" s="62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inlineStr">
        <is>
          <t>x</t>
        </is>
      </c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  <c r="AZ29" s="62" t="n"/>
      <c r="BA29" s="62" t="n"/>
      <c r="BB29" s="62" t="n"/>
      <c r="BC29" s="62" t="n"/>
      <c r="BD29" s="62" t="n"/>
      <c r="BM29" s="62" t="n"/>
      <c r="BN29" s="62" t="n"/>
      <c r="BO29" s="62" t="n"/>
      <c r="BP29" s="62" t="n"/>
      <c r="BQ29" s="62" t="n"/>
      <c r="BR29" s="62" t="n"/>
      <c r="BS29" s="62" t="n"/>
      <c r="BT29" s="62" t="n"/>
      <c r="BU29" s="62" t="n"/>
      <c r="BV29" s="62" t="n"/>
      <c r="BW29" s="62" t="n"/>
      <c r="BX29" s="62" t="n"/>
      <c r="EU29" s="30" t="n"/>
      <c r="EV29" s="30" t="n"/>
      <c r="EW29" s="30" t="n"/>
    </row>
    <row r="30" ht="15" customHeight="1">
      <c r="A30" s="47" t="inlineStr">
        <is>
          <t>Segundo nombre</t>
        </is>
      </c>
      <c r="B30" s="62" t="n"/>
      <c r="C30" s="62" t="n"/>
      <c r="D30" s="62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  <c r="AZ30" s="62" t="n"/>
      <c r="BA30" s="62" t="n"/>
      <c r="BB30" s="62" t="n"/>
      <c r="BC30" s="62" t="n"/>
      <c r="BD30" s="62" t="n"/>
      <c r="BM30" s="62" t="n"/>
      <c r="BN30" s="62" t="n"/>
      <c r="BO30" s="62" t="n"/>
      <c r="BP30" s="62" t="n"/>
      <c r="BQ30" s="62" t="n"/>
      <c r="BR30" s="62" t="n"/>
      <c r="BS30" s="62" t="n"/>
      <c r="BT30" s="62" t="n"/>
      <c r="BU30" s="62" t="n"/>
      <c r="BV30" s="62" t="n"/>
      <c r="BW30" s="62" t="n"/>
      <c r="BX30" s="62" t="n"/>
      <c r="EU30" s="30" t="n"/>
      <c r="EV30" s="30" t="n"/>
      <c r="EW30" s="30" t="n"/>
    </row>
    <row r="31" ht="15" customHeight="1">
      <c r="A31" s="52" t="inlineStr">
        <is>
          <t>Válido</t>
        </is>
      </c>
      <c r="B31" s="62" t="n"/>
      <c r="C31" s="62" t="n"/>
      <c r="D31" s="62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56" t="inlineStr">
        <is>
          <t>x</t>
        </is>
      </c>
      <c r="S31" s="56" t="inlineStr">
        <is>
          <t>x</t>
        </is>
      </c>
      <c r="T31" s="56" t="inlineStr">
        <is>
          <t>x</t>
        </is>
      </c>
      <c r="U31" s="56" t="inlineStr">
        <is>
          <t>x</t>
        </is>
      </c>
      <c r="V31" s="56" t="inlineStr">
        <is>
          <t>x</t>
        </is>
      </c>
      <c r="W31" s="56" t="inlineStr">
        <is>
          <t>x</t>
        </is>
      </c>
      <c r="X31" s="56" t="inlineStr">
        <is>
          <t>x</t>
        </is>
      </c>
      <c r="Y31" s="56" t="inlineStr">
        <is>
          <t>x</t>
        </is>
      </c>
      <c r="Z31" s="56" t="n"/>
      <c r="AA31" s="56" t="n"/>
      <c r="AB31" s="56" t="n"/>
      <c r="AC31" s="56" t="inlineStr">
        <is>
          <t>x</t>
        </is>
      </c>
      <c r="AD31" s="56" t="inlineStr">
        <is>
          <t>x</t>
        </is>
      </c>
      <c r="AE31" s="56" t="inlineStr">
        <is>
          <t>x</t>
        </is>
      </c>
      <c r="AF31" s="56" t="inlineStr">
        <is>
          <t>x</t>
        </is>
      </c>
      <c r="AG31" s="56" t="inlineStr">
        <is>
          <t>x</t>
        </is>
      </c>
      <c r="AH31" s="56" t="inlineStr">
        <is>
          <t>x</t>
        </is>
      </c>
      <c r="AI31" s="56" t="inlineStr">
        <is>
          <t>x</t>
        </is>
      </c>
      <c r="AJ31" s="56" t="inlineStr">
        <is>
          <t>x</t>
        </is>
      </c>
      <c r="AK31" s="56" t="inlineStr">
        <is>
          <t>x</t>
        </is>
      </c>
      <c r="AL31" s="56" t="inlineStr">
        <is>
          <t>x</t>
        </is>
      </c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  <c r="AZ31" s="62" t="n"/>
      <c r="BA31" s="62" t="n"/>
      <c r="BB31" s="62" t="n"/>
      <c r="BC31" s="62" t="n"/>
      <c r="BD31" s="62" t="n"/>
      <c r="BM31" s="62" t="n"/>
      <c r="BN31" s="62" t="n"/>
      <c r="BO31" s="62" t="n"/>
      <c r="BP31" s="62" t="n"/>
      <c r="BQ31" s="62" t="n"/>
      <c r="BR31" s="62" t="n"/>
      <c r="BS31" s="62" t="n"/>
      <c r="BT31" s="62" t="n"/>
      <c r="BU31" s="62" t="n"/>
      <c r="BV31" s="62" t="n"/>
      <c r="BW31" s="62" t="n"/>
      <c r="BX31" s="62" t="n"/>
      <c r="EU31" s="30" t="n"/>
      <c r="EV31" s="30" t="n"/>
      <c r="EW31" s="30" t="n"/>
    </row>
    <row r="32" ht="15" customHeight="1">
      <c r="A32" s="52" t="inlineStr">
        <is>
          <t>Nulo o vacío</t>
        </is>
      </c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inlineStr">
        <is>
          <t>x</t>
        </is>
      </c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  <c r="AZ32" s="62" t="n"/>
      <c r="BA32" s="62" t="n"/>
      <c r="BB32" s="62" t="n"/>
      <c r="BC32" s="62" t="n"/>
      <c r="BD32" s="62" t="n"/>
      <c r="BM32" s="62" t="n"/>
      <c r="BN32" s="62" t="n"/>
      <c r="BO32" s="62" t="n"/>
      <c r="BP32" s="62" t="n"/>
      <c r="BQ32" s="62" t="n"/>
      <c r="BR32" s="62" t="n"/>
      <c r="BS32" s="62" t="n"/>
      <c r="BT32" s="62" t="n"/>
      <c r="BU32" s="62" t="n"/>
      <c r="BV32" s="62" t="n"/>
      <c r="BW32" s="62" t="n"/>
      <c r="BX32" s="62" t="n"/>
      <c r="EU32" s="30" t="n"/>
      <c r="EV32" s="30" t="n"/>
      <c r="EW32" s="30" t="n"/>
    </row>
    <row r="33" ht="15" customHeight="1">
      <c r="A33" s="47" t="inlineStr">
        <is>
          <t>Primer apeliido</t>
        </is>
      </c>
      <c r="B33" s="62" t="n"/>
      <c r="C33" s="62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  <c r="AZ33" s="62" t="n"/>
      <c r="BA33" s="62" t="n"/>
      <c r="BB33" s="62" t="n"/>
      <c r="BC33" s="62" t="n"/>
      <c r="BD33" s="62" t="n"/>
      <c r="BM33" s="62" t="n"/>
      <c r="BN33" s="62" t="n"/>
      <c r="BO33" s="62" t="n"/>
      <c r="BP33" s="62" t="n"/>
      <c r="BQ33" s="62" t="n"/>
      <c r="BR33" s="62" t="n"/>
      <c r="BS33" s="62" t="n"/>
      <c r="BT33" s="62" t="n"/>
      <c r="BU33" s="62" t="n"/>
      <c r="BV33" s="62" t="n"/>
      <c r="BW33" s="62" t="n"/>
      <c r="BX33" s="62" t="n"/>
      <c r="EU33" s="30" t="n"/>
      <c r="EV33" s="30" t="n"/>
      <c r="EW33" s="30" t="n"/>
    </row>
    <row r="34" ht="15" customHeight="1">
      <c r="A34" s="52" t="inlineStr">
        <is>
          <t>Válido</t>
        </is>
      </c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56" t="inlineStr">
        <is>
          <t>x</t>
        </is>
      </c>
      <c r="S34" s="56" t="inlineStr">
        <is>
          <t>x</t>
        </is>
      </c>
      <c r="T34" s="56" t="inlineStr">
        <is>
          <t>x</t>
        </is>
      </c>
      <c r="U34" s="56" t="inlineStr">
        <is>
          <t>x</t>
        </is>
      </c>
      <c r="V34" s="56" t="inlineStr">
        <is>
          <t>x</t>
        </is>
      </c>
      <c r="W34" s="56" t="inlineStr">
        <is>
          <t>x</t>
        </is>
      </c>
      <c r="X34" s="56" t="inlineStr">
        <is>
          <t>x</t>
        </is>
      </c>
      <c r="Y34" s="56" t="inlineStr">
        <is>
          <t>x</t>
        </is>
      </c>
      <c r="Z34" s="56" t="n"/>
      <c r="AA34" s="56" t="n"/>
      <c r="AB34" s="56" t="n"/>
      <c r="AC34" s="56" t="inlineStr">
        <is>
          <t>x</t>
        </is>
      </c>
      <c r="AD34" s="56" t="inlineStr">
        <is>
          <t>x</t>
        </is>
      </c>
      <c r="AE34" s="56" t="inlineStr">
        <is>
          <t>x</t>
        </is>
      </c>
      <c r="AF34" s="56" t="inlineStr">
        <is>
          <t>x</t>
        </is>
      </c>
      <c r="AG34" s="56" t="inlineStr">
        <is>
          <t>x</t>
        </is>
      </c>
      <c r="AH34" s="56" t="inlineStr">
        <is>
          <t>x</t>
        </is>
      </c>
      <c r="AI34" s="56" t="inlineStr">
        <is>
          <t>x</t>
        </is>
      </c>
      <c r="AJ34" s="56" t="inlineStr">
        <is>
          <t>x</t>
        </is>
      </c>
      <c r="AK34" s="56" t="inlineStr">
        <is>
          <t>x</t>
        </is>
      </c>
      <c r="AL34" s="56" t="inlineStr">
        <is>
          <t>x</t>
        </is>
      </c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  <c r="AZ34" s="62" t="n"/>
      <c r="BA34" s="62" t="n"/>
      <c r="BB34" s="62" t="n"/>
      <c r="BC34" s="62" t="n"/>
      <c r="BD34" s="62" t="n"/>
      <c r="BM34" s="62" t="n"/>
      <c r="BN34" s="62" t="n"/>
      <c r="BO34" s="62" t="n"/>
      <c r="BP34" s="62" t="n"/>
      <c r="BQ34" s="62" t="n"/>
      <c r="BR34" s="62" t="n"/>
      <c r="BS34" s="62" t="n"/>
      <c r="BT34" s="62" t="n"/>
      <c r="BU34" s="62" t="n"/>
      <c r="BV34" s="62" t="n"/>
      <c r="BW34" s="62" t="n"/>
      <c r="BX34" s="62" t="n"/>
      <c r="EU34" s="30" t="n"/>
      <c r="EV34" s="30" t="n"/>
      <c r="EW34" s="30" t="n"/>
    </row>
    <row r="35" ht="15" customHeight="1">
      <c r="A35" s="52" t="inlineStr">
        <is>
          <t>Nulo o vacío</t>
        </is>
      </c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inlineStr">
        <is>
          <t>x</t>
        </is>
      </c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  <c r="AZ35" s="62" t="n"/>
      <c r="BA35" s="62" t="n"/>
      <c r="BB35" s="62" t="n"/>
      <c r="BC35" s="62" t="n"/>
      <c r="BD35" s="62" t="n"/>
      <c r="BM35" s="62" t="n"/>
      <c r="BN35" s="62" t="n"/>
      <c r="BO35" s="62" t="n"/>
      <c r="BP35" s="62" t="n"/>
      <c r="BQ35" s="62" t="n"/>
      <c r="BR35" s="62" t="n"/>
      <c r="BS35" s="62" t="n"/>
      <c r="BT35" s="62" t="n"/>
      <c r="BU35" s="62" t="n"/>
      <c r="BV35" s="62" t="n"/>
      <c r="BW35" s="62" t="n"/>
      <c r="BX35" s="62" t="n"/>
      <c r="EU35" s="30" t="n"/>
      <c r="EV35" s="30" t="n"/>
      <c r="EW35" s="30" t="n"/>
    </row>
    <row r="36" ht="15" customHeight="1">
      <c r="A36" s="47" t="inlineStr">
        <is>
          <t>Segundo apeliido</t>
        </is>
      </c>
      <c r="B36" s="6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  <c r="AZ36" s="62" t="n"/>
      <c r="BA36" s="62" t="n"/>
      <c r="BB36" s="62" t="n"/>
      <c r="BC36" s="62" t="n"/>
      <c r="BD36" s="62" t="n"/>
      <c r="BM36" s="62" t="n"/>
      <c r="BN36" s="62" t="n"/>
      <c r="BO36" s="62" t="n"/>
      <c r="BP36" s="62" t="n"/>
      <c r="BQ36" s="62" t="n"/>
      <c r="BR36" s="62" t="n"/>
      <c r="BS36" s="62" t="n"/>
      <c r="BT36" s="62" t="n"/>
      <c r="BU36" s="62" t="n"/>
      <c r="BV36" s="62" t="n"/>
      <c r="BW36" s="62" t="n"/>
      <c r="BX36" s="62" t="n"/>
      <c r="EU36" s="30" t="n"/>
      <c r="EV36" s="30" t="n"/>
      <c r="EW36" s="30" t="n"/>
    </row>
    <row r="37" ht="15" customHeight="1">
      <c r="A37" s="52" t="inlineStr">
        <is>
          <t>Válido</t>
        </is>
      </c>
      <c r="B37" s="6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56" t="inlineStr">
        <is>
          <t>x</t>
        </is>
      </c>
      <c r="S37" s="56" t="inlineStr">
        <is>
          <t>x</t>
        </is>
      </c>
      <c r="T37" s="56" t="inlineStr">
        <is>
          <t>x</t>
        </is>
      </c>
      <c r="U37" s="56" t="inlineStr">
        <is>
          <t>x</t>
        </is>
      </c>
      <c r="V37" s="56" t="inlineStr">
        <is>
          <t>x</t>
        </is>
      </c>
      <c r="W37" s="56" t="inlineStr">
        <is>
          <t>x</t>
        </is>
      </c>
      <c r="X37" s="56" t="inlineStr">
        <is>
          <t>x</t>
        </is>
      </c>
      <c r="Y37" s="56" t="inlineStr">
        <is>
          <t>x</t>
        </is>
      </c>
      <c r="Z37" s="56" t="n"/>
      <c r="AA37" s="56" t="n"/>
      <c r="AB37" s="56" t="n"/>
      <c r="AC37" s="56" t="inlineStr">
        <is>
          <t>x</t>
        </is>
      </c>
      <c r="AD37" s="56" t="inlineStr">
        <is>
          <t>x</t>
        </is>
      </c>
      <c r="AE37" s="56" t="inlineStr">
        <is>
          <t>x</t>
        </is>
      </c>
      <c r="AF37" s="56" t="inlineStr">
        <is>
          <t>x</t>
        </is>
      </c>
      <c r="AG37" s="56" t="inlineStr">
        <is>
          <t>x</t>
        </is>
      </c>
      <c r="AH37" s="56" t="inlineStr">
        <is>
          <t>x</t>
        </is>
      </c>
      <c r="AI37" s="56" t="inlineStr">
        <is>
          <t>x</t>
        </is>
      </c>
      <c r="AJ37" s="56" t="inlineStr">
        <is>
          <t>x</t>
        </is>
      </c>
      <c r="AK37" s="56" t="inlineStr">
        <is>
          <t>x</t>
        </is>
      </c>
      <c r="AL37" s="56" t="inlineStr">
        <is>
          <t>x</t>
        </is>
      </c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  <c r="AZ37" s="62" t="n"/>
      <c r="BA37" s="62" t="n"/>
      <c r="BB37" s="62" t="n"/>
      <c r="BC37" s="62" t="n"/>
      <c r="BD37" s="62" t="n"/>
      <c r="BM37" s="62" t="n"/>
      <c r="BN37" s="62" t="n"/>
      <c r="BO37" s="62" t="n"/>
      <c r="BP37" s="62" t="n"/>
      <c r="BQ37" s="62" t="n"/>
      <c r="BR37" s="62" t="n"/>
      <c r="BS37" s="62" t="n"/>
      <c r="BT37" s="62" t="n"/>
      <c r="BU37" s="62" t="n"/>
      <c r="BV37" s="62" t="n"/>
      <c r="BW37" s="62" t="n"/>
      <c r="BX37" s="62" t="n"/>
      <c r="EU37" s="30" t="n"/>
      <c r="EV37" s="30" t="n"/>
      <c r="EW37" s="30" t="n"/>
    </row>
    <row r="38" ht="15" customHeight="1">
      <c r="A38" s="52" t="inlineStr">
        <is>
          <t>Nulo o vacío</t>
        </is>
      </c>
      <c r="B38" s="6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inlineStr">
        <is>
          <t>x</t>
        </is>
      </c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  <c r="AZ38" s="62" t="n"/>
      <c r="BA38" s="62" t="n"/>
      <c r="BB38" s="62" t="n"/>
      <c r="BC38" s="62" t="n"/>
      <c r="BD38" s="62" t="n"/>
      <c r="BM38" s="62" t="n"/>
      <c r="BN38" s="62" t="n"/>
      <c r="BO38" s="62" t="n"/>
      <c r="BP38" s="62" t="n"/>
      <c r="BQ38" s="62" t="n"/>
      <c r="BR38" s="62" t="n"/>
      <c r="BS38" s="62" t="n"/>
      <c r="BT38" s="62" t="n"/>
      <c r="BU38" s="62" t="n"/>
      <c r="BV38" s="62" t="n"/>
      <c r="BW38" s="62" t="n"/>
      <c r="BX38" s="62" t="n"/>
      <c r="EU38" s="30" t="n"/>
      <c r="EV38" s="30" t="n"/>
      <c r="EW38" s="30" t="n"/>
    </row>
    <row r="39" ht="15" customHeight="1">
      <c r="A39" s="47" t="inlineStr">
        <is>
          <t>PIN Remesa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  <c r="AG39" s="62" t="n"/>
      <c r="AH39" s="62" t="n"/>
      <c r="AI39" s="62" t="n"/>
      <c r="AJ39" s="62" t="n"/>
      <c r="AK39" s="62" t="n"/>
      <c r="AL39" s="62" t="n"/>
      <c r="AM39" s="62" t="n"/>
      <c r="AN39" s="62" t="n"/>
      <c r="AO39" s="62" t="n"/>
      <c r="AP39" s="62" t="n"/>
      <c r="AQ39" s="62" t="n"/>
      <c r="AR39" s="62" t="n"/>
      <c r="AS39" s="62" t="n"/>
      <c r="AT39" s="62" t="n"/>
      <c r="AU39" s="62" t="n"/>
      <c r="AV39" s="62" t="n"/>
      <c r="AW39" s="62" t="n"/>
      <c r="AX39" s="62" t="n"/>
      <c r="AY39" s="62" t="n"/>
      <c r="AZ39" s="62" t="n"/>
      <c r="BA39" s="62" t="n"/>
      <c r="BB39" s="62" t="n"/>
      <c r="BC39" s="62" t="n"/>
      <c r="BD39" s="62" t="n"/>
      <c r="BE39" s="62" t="n"/>
      <c r="BF39" s="62" t="n"/>
      <c r="BG39" s="62" t="n"/>
      <c r="BH39" s="62" t="n"/>
      <c r="BI39" s="62" t="n"/>
      <c r="BJ39" s="62" t="n"/>
      <c r="BK39" s="62" t="n"/>
      <c r="BL39" s="62" t="n"/>
      <c r="BM39" s="62" t="n"/>
      <c r="BN39" s="62" t="n"/>
      <c r="BO39" s="62" t="n"/>
      <c r="BP39" s="62" t="n"/>
      <c r="BQ39" s="62" t="n"/>
      <c r="BR39" s="62" t="n"/>
      <c r="BS39" s="62" t="n"/>
      <c r="BT39" s="62" t="n"/>
      <c r="BU39" s="62" t="n"/>
      <c r="BV39" s="62" t="n"/>
      <c r="BW39" s="62" t="n"/>
      <c r="BX39" s="62" t="n"/>
      <c r="BY39" s="62" t="n"/>
      <c r="BZ39" s="62" t="n"/>
      <c r="CA39" s="62" t="n"/>
      <c r="CB39" s="62" t="n"/>
      <c r="EU39" s="30" t="n"/>
      <c r="EV39" s="30" t="n"/>
      <c r="EW39" s="30" t="n"/>
    </row>
    <row r="40" ht="15" customHeight="1">
      <c r="A40" s="52" t="inlineStr">
        <is>
          <t>Numérico, de 9 caracteres y único</t>
        </is>
      </c>
      <c r="B40" s="56" t="inlineStr">
        <is>
          <t>x</t>
        </is>
      </c>
      <c r="C40" s="56" t="inlineStr">
        <is>
          <t>x</t>
        </is>
      </c>
      <c r="D40" s="56" t="inlineStr">
        <is>
          <t>x</t>
        </is>
      </c>
      <c r="E40" s="56" t="inlineStr">
        <is>
          <t>x</t>
        </is>
      </c>
      <c r="F40" s="56" t="n"/>
      <c r="G40" s="56" t="inlineStr">
        <is>
          <t>x</t>
        </is>
      </c>
      <c r="H40" s="56" t="inlineStr">
        <is>
          <t>x</t>
        </is>
      </c>
      <c r="I40" s="56" t="n"/>
      <c r="J40" s="56" t="inlineStr">
        <is>
          <t>x</t>
        </is>
      </c>
      <c r="K40" s="56" t="inlineStr">
        <is>
          <t>x</t>
        </is>
      </c>
      <c r="L40" s="56" t="inlineStr">
        <is>
          <t>x</t>
        </is>
      </c>
      <c r="M40" s="56" t="n"/>
      <c r="N40" s="56" t="n"/>
      <c r="O40" s="56" t="n"/>
      <c r="P40" s="56" t="inlineStr">
        <is>
          <t>x</t>
        </is>
      </c>
      <c r="Q40" s="56" t="n"/>
      <c r="R40" s="56" t="inlineStr">
        <is>
          <t>x</t>
        </is>
      </c>
      <c r="S40" s="56" t="inlineStr">
        <is>
          <t>x</t>
        </is>
      </c>
      <c r="T40" s="56" t="inlineStr">
        <is>
          <t>x</t>
        </is>
      </c>
      <c r="U40" s="56" t="inlineStr">
        <is>
          <t>x</t>
        </is>
      </c>
      <c r="V40" s="56" t="n"/>
      <c r="W40" s="56" t="inlineStr">
        <is>
          <t>x</t>
        </is>
      </c>
      <c r="X40" s="56" t="n"/>
      <c r="Y40" s="56" t="inlineStr">
        <is>
          <t>x</t>
        </is>
      </c>
      <c r="Z40" s="56" t="n"/>
      <c r="AA40" s="56" t="n"/>
      <c r="AB40" s="56" t="n"/>
      <c r="AC40" s="56" t="inlineStr">
        <is>
          <t>x</t>
        </is>
      </c>
      <c r="AD40" s="56" t="inlineStr">
        <is>
          <t>x</t>
        </is>
      </c>
      <c r="AE40" s="56" t="inlineStr">
        <is>
          <t>x</t>
        </is>
      </c>
      <c r="AF40" s="56" t="inlineStr">
        <is>
          <t>x</t>
        </is>
      </c>
      <c r="AG40" s="56" t="n"/>
      <c r="AH40" s="56" t="inlineStr">
        <is>
          <t>x</t>
        </is>
      </c>
      <c r="AI40" s="56" t="inlineStr">
        <is>
          <t>x</t>
        </is>
      </c>
      <c r="AJ40" s="56" t="inlineStr">
        <is>
          <t>x</t>
        </is>
      </c>
      <c r="AK40" s="56" t="inlineStr">
        <is>
          <t>x</t>
        </is>
      </c>
      <c r="AL40" s="56" t="n"/>
      <c r="AM40" s="56" t="n"/>
      <c r="AN40" s="56" t="n"/>
      <c r="AO40" s="56" t="n"/>
      <c r="AP40" s="56" t="n"/>
      <c r="AQ40" s="56" t="n"/>
      <c r="AR40" s="56" t="inlineStr">
        <is>
          <t>x</t>
        </is>
      </c>
      <c r="AS40" s="56" t="n"/>
      <c r="AT40" s="56" t="n"/>
      <c r="AU40" s="56" t="n"/>
      <c r="AV40" s="56" t="n"/>
      <c r="AW40" s="56" t="inlineStr">
        <is>
          <t>x</t>
        </is>
      </c>
      <c r="AX40" s="56" t="n"/>
      <c r="AY40" s="56" t="n"/>
      <c r="AZ40" s="56" t="n"/>
      <c r="BA40" s="56" t="inlineStr">
        <is>
          <t>x</t>
        </is>
      </c>
      <c r="BB40" s="56" t="n"/>
      <c r="BC40" s="56" t="n"/>
      <c r="BD40" s="56" t="n"/>
      <c r="BE40" s="56" t="inlineStr">
        <is>
          <t>x</t>
        </is>
      </c>
      <c r="BF40" s="56" t="n"/>
      <c r="BG40" s="56" t="n"/>
      <c r="BH40" s="56" t="n"/>
      <c r="BI40" s="62" t="n"/>
      <c r="BJ40" s="62" t="n"/>
      <c r="BK40" s="62" t="n"/>
      <c r="BL40" s="62" t="n"/>
      <c r="BM40" s="62" t="n"/>
      <c r="BN40" s="62" t="n"/>
      <c r="BO40" s="62" t="n"/>
      <c r="BP40" s="62" t="n"/>
      <c r="BQ40" s="62" t="n"/>
      <c r="BR40" s="62" t="n"/>
      <c r="BS40" s="62" t="n"/>
      <c r="BT40" s="62" t="n"/>
      <c r="BU40" s="62" t="n"/>
      <c r="BV40" s="62" t="n"/>
      <c r="BW40" s="62" t="n"/>
      <c r="BX40" s="62" t="n"/>
      <c r="BY40" s="56" t="inlineStr">
        <is>
          <t>x</t>
        </is>
      </c>
      <c r="BZ40" s="56" t="n"/>
      <c r="CA40" s="56" t="n"/>
      <c r="CB40" s="56" t="n"/>
      <c r="EU40" s="30" t="n"/>
      <c r="EV40" s="30" t="n"/>
      <c r="EW40" s="30" t="n"/>
    </row>
    <row r="41" ht="15" customHeight="1">
      <c r="A41" s="52" t="inlineStr">
        <is>
          <t>Duplicado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inlineStr">
        <is>
          <t>x</t>
        </is>
      </c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inlineStr">
        <is>
          <t>x</t>
        </is>
      </c>
      <c r="AT41" s="56" t="n"/>
      <c r="AU41" s="56" t="n"/>
      <c r="AV41" s="56" t="n"/>
      <c r="AW41" s="56" t="n"/>
      <c r="AX41" s="56" t="inlineStr">
        <is>
          <t>x</t>
        </is>
      </c>
      <c r="AY41" s="56" t="n"/>
      <c r="AZ41" s="56" t="n"/>
      <c r="BA41" s="56" t="n"/>
      <c r="BB41" s="56" t="inlineStr">
        <is>
          <t>x</t>
        </is>
      </c>
      <c r="BC41" s="56" t="n"/>
      <c r="BD41" s="56" t="n"/>
      <c r="BE41" s="56" t="n"/>
      <c r="BF41" s="56" t="inlineStr">
        <is>
          <t>x</t>
        </is>
      </c>
      <c r="BG41" s="56" t="n"/>
      <c r="BH41" s="56" t="n"/>
      <c r="BI41" s="62" t="n"/>
      <c r="BJ41" s="62" t="n"/>
      <c r="BK41" s="62" t="n"/>
      <c r="BL41" s="62" t="n"/>
      <c r="BM41" s="62" t="n"/>
      <c r="BN41" s="62" t="n"/>
      <c r="BO41" s="62" t="n"/>
      <c r="BP41" s="62" t="n"/>
      <c r="BQ41" s="62" t="n"/>
      <c r="BR41" s="62" t="n"/>
      <c r="BS41" s="62" t="n"/>
      <c r="BT41" s="62" t="n"/>
      <c r="BU41" s="62" t="n"/>
      <c r="BV41" s="62" t="n"/>
      <c r="BW41" s="62" t="n"/>
      <c r="BX41" s="62" t="n"/>
      <c r="BY41" s="56" t="n"/>
      <c r="BZ41" s="56" t="inlineStr">
        <is>
          <t>x</t>
        </is>
      </c>
      <c r="CA41" s="56" t="n"/>
      <c r="CB41" s="56" t="n"/>
      <c r="EU41" s="30" t="n"/>
      <c r="EV41" s="30" t="n"/>
      <c r="EW41" s="30" t="n"/>
    </row>
    <row r="42" ht="18" customHeight="1">
      <c r="A42" s="61" t="inlineStr">
        <is>
          <t>Anulado</t>
        </is>
      </c>
      <c r="B42" s="56" t="n"/>
      <c r="C42" s="56" t="n"/>
      <c r="D42" s="56" t="n"/>
      <c r="E42" s="56" t="n"/>
      <c r="F42" s="56" t="n"/>
      <c r="G42" s="56" t="n"/>
      <c r="H42" s="56" t="n"/>
      <c r="I42" s="56" t="inlineStr">
        <is>
          <t>x</t>
        </is>
      </c>
      <c r="J42" s="56" t="n"/>
      <c r="K42" s="56" t="n"/>
      <c r="L42" s="56" t="n"/>
      <c r="M42" s="56" t="n"/>
      <c r="N42" s="56" t="inlineStr">
        <is>
          <t>x</t>
        </is>
      </c>
      <c r="O42" s="56" t="n"/>
      <c r="P42" s="56" t="n"/>
      <c r="Q42" s="56" t="n"/>
      <c r="R42" s="56" t="n"/>
      <c r="S42" s="56" t="n"/>
      <c r="T42" s="56" t="n"/>
      <c r="U42" s="56" t="n"/>
      <c r="V42" s="56" t="inlineStr">
        <is>
          <t>x</t>
        </is>
      </c>
      <c r="W42" s="56" t="n"/>
      <c r="X42" s="56" t="inlineStr">
        <is>
          <t>x</t>
        </is>
      </c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inlineStr">
        <is>
          <t>x</t>
        </is>
      </c>
      <c r="AH42" s="56" t="n"/>
      <c r="AI42" s="56" t="n"/>
      <c r="AJ42" s="56" t="n"/>
      <c r="AK42" s="56" t="n"/>
      <c r="AL42" s="56" t="inlineStr">
        <is>
          <t>x</t>
        </is>
      </c>
      <c r="AM42" s="56" t="n"/>
      <c r="AN42" s="56" t="n"/>
      <c r="AO42" s="56" t="n"/>
      <c r="AP42" s="56" t="n"/>
      <c r="AQ42" s="56" t="n"/>
      <c r="AR42" s="56" t="n"/>
      <c r="AS42" s="56" t="n"/>
      <c r="AT42" s="56" t="inlineStr">
        <is>
          <t>x</t>
        </is>
      </c>
      <c r="AU42" s="56" t="n"/>
      <c r="AV42" s="56" t="n"/>
      <c r="AW42" s="56" t="n"/>
      <c r="AX42" s="56" t="n"/>
      <c r="AY42" s="56" t="inlineStr">
        <is>
          <t>x</t>
        </is>
      </c>
      <c r="AZ42" s="56" t="n"/>
      <c r="BA42" s="56" t="n"/>
      <c r="BB42" s="56" t="n"/>
      <c r="BC42" s="56" t="inlineStr">
        <is>
          <t>x</t>
        </is>
      </c>
      <c r="BD42" s="56" t="n"/>
      <c r="BE42" s="56" t="n"/>
      <c r="BF42" s="56" t="n"/>
      <c r="BG42" s="56" t="n"/>
      <c r="BH42" s="56" t="n"/>
      <c r="BI42" s="62" t="n"/>
      <c r="BJ42" s="62" t="n"/>
      <c r="BK42" s="62" t="n"/>
      <c r="BL42" s="62" t="n"/>
      <c r="BM42" s="62" t="n"/>
      <c r="BN42" s="62" t="n"/>
      <c r="BO42" s="62" t="n"/>
      <c r="BP42" s="62" t="n"/>
      <c r="BQ42" s="62" t="n"/>
      <c r="BR42" s="62" t="n"/>
      <c r="BS42" s="62" t="n"/>
      <c r="BT42" s="62" t="n"/>
      <c r="BU42" s="62" t="n"/>
      <c r="BV42" s="62" t="n"/>
      <c r="BW42" s="62" t="n"/>
      <c r="BX42" s="62" t="n"/>
      <c r="BY42" s="56" t="n"/>
      <c r="BZ42" s="56" t="n"/>
      <c r="CA42" s="56" t="n"/>
      <c r="CB42" s="56" t="n"/>
      <c r="EU42" s="30" t="n"/>
      <c r="EV42" s="30" t="n"/>
      <c r="EW42" s="30" t="n"/>
    </row>
    <row r="43" ht="15" customHeight="1">
      <c r="A43" s="61" t="inlineStr">
        <is>
          <t>No válido, no numérico, diferente a 9 caracteres o vacío</t>
        </is>
      </c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inlineStr">
        <is>
          <t>x</t>
        </is>
      </c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inlineStr">
        <is>
          <t>x</t>
        </is>
      </c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inlineStr">
        <is>
          <t>x</t>
        </is>
      </c>
      <c r="AW43" s="56" t="n"/>
      <c r="AX43" s="56" t="n"/>
      <c r="AY43" s="56" t="n"/>
      <c r="AZ43" s="56" t="inlineStr">
        <is>
          <t>x</t>
        </is>
      </c>
      <c r="BA43" s="56" t="n"/>
      <c r="BB43" s="56" t="n"/>
      <c r="BC43" s="56" t="n"/>
      <c r="BD43" s="56" t="inlineStr">
        <is>
          <t>x</t>
        </is>
      </c>
      <c r="BE43" s="56" t="n"/>
      <c r="BF43" s="56" t="n"/>
      <c r="BG43" s="56" t="n"/>
      <c r="BH43" s="56" t="inlineStr">
        <is>
          <t>x</t>
        </is>
      </c>
      <c r="BI43" s="62" t="n"/>
      <c r="BJ43" s="62" t="n"/>
      <c r="BK43" s="62" t="n"/>
      <c r="BL43" s="62" t="n"/>
      <c r="BM43" s="62" t="n"/>
      <c r="BN43" s="62" t="n"/>
      <c r="BO43" s="62" t="n"/>
      <c r="BP43" s="62" t="n"/>
      <c r="BQ43" s="62" t="n"/>
      <c r="BR43" s="62" t="n"/>
      <c r="BS43" s="62" t="n"/>
      <c r="BT43" s="62" t="n"/>
      <c r="BU43" s="62" t="n"/>
      <c r="BV43" s="62" t="n"/>
      <c r="BW43" s="62" t="n"/>
      <c r="BX43" s="62" t="n"/>
      <c r="BY43" s="56" t="n"/>
      <c r="BZ43" s="56" t="n"/>
      <c r="CA43" s="56" t="n"/>
      <c r="CB43" s="56" t="inlineStr">
        <is>
          <t>x</t>
        </is>
      </c>
      <c r="EU43" s="30" t="n"/>
      <c r="EV43" s="30" t="n"/>
      <c r="EW43" s="30" t="n"/>
    </row>
    <row r="44" ht="15" customHeight="1">
      <c r="A44" s="47" t="inlineStr">
        <is>
          <t>Medio de pago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  <c r="AZ44" s="62" t="n"/>
      <c r="BA44" s="62" t="n"/>
      <c r="BB44" s="62" t="n"/>
      <c r="BC44" s="62" t="n"/>
      <c r="BD44" s="62" t="n"/>
      <c r="BE44" s="62" t="n"/>
      <c r="BF44" s="62" t="n"/>
      <c r="BG44" s="62" t="n"/>
      <c r="BH44" s="62" t="n"/>
      <c r="BI44" s="62" t="n"/>
      <c r="BJ44" s="62" t="n"/>
      <c r="BK44" s="62" t="n"/>
      <c r="BL44" s="62" t="n"/>
      <c r="BM44" s="62" t="n"/>
      <c r="BN44" s="62" t="n"/>
      <c r="BO44" s="62" t="n"/>
      <c r="BP44" s="62" t="n"/>
      <c r="BQ44" s="62" t="n"/>
      <c r="BR44" s="62" t="n"/>
      <c r="BS44" s="62" t="n"/>
      <c r="BT44" s="62" t="n"/>
      <c r="BU44" s="62" t="n"/>
      <c r="BV44" s="62" t="n"/>
      <c r="BW44" s="62" t="n"/>
      <c r="BX44" s="62" t="n"/>
      <c r="BY44" s="62" t="n"/>
      <c r="BZ44" s="62" t="n"/>
      <c r="CA44" s="62" t="n"/>
      <c r="CB44" s="62" t="n"/>
      <c r="EU44" s="30" t="n"/>
      <c r="EV44" s="30" t="n"/>
      <c r="EW44" s="30" t="n"/>
    </row>
    <row r="45" ht="15" customHeight="1">
      <c r="A45" s="61" t="inlineStr">
        <is>
          <t>Efectivo</t>
        </is>
      </c>
      <c r="B45" s="56" t="inlineStr">
        <is>
          <t>x</t>
        </is>
      </c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inlineStr">
        <is>
          <t>x</t>
        </is>
      </c>
      <c r="L45" s="56" t="n"/>
      <c r="M45" s="56" t="n"/>
      <c r="N45" s="56" t="n"/>
      <c r="O45" s="56" t="n"/>
      <c r="P45" s="56" t="n"/>
      <c r="Q45" s="56" t="n"/>
      <c r="R45" s="56" t="inlineStr">
        <is>
          <t>x</t>
        </is>
      </c>
      <c r="S45" s="56" t="n"/>
      <c r="T45" s="56" t="n"/>
      <c r="U45" s="56" t="n"/>
      <c r="V45" s="56" t="n"/>
      <c r="W45" s="56" t="n"/>
      <c r="X45" s="56" t="inlineStr">
        <is>
          <t>x</t>
        </is>
      </c>
      <c r="Y45" s="56" t="n"/>
      <c r="Z45" s="56" t="n"/>
      <c r="AA45" s="56" t="n"/>
      <c r="AB45" s="56" t="n"/>
      <c r="AC45" s="56" t="inlineStr">
        <is>
          <t>x</t>
        </is>
      </c>
      <c r="AD45" s="56" t="n"/>
      <c r="AE45" s="56" t="n"/>
      <c r="AF45" s="56" t="n"/>
      <c r="AG45" s="56" t="n"/>
      <c r="AH45" s="56" t="inlineStr">
        <is>
          <t>x</t>
        </is>
      </c>
      <c r="AI45" s="56" t="n"/>
      <c r="AJ45" s="56" t="n"/>
      <c r="AK45" s="56" t="n"/>
      <c r="AL45" s="56" t="inlineStr">
        <is>
          <t>x</t>
        </is>
      </c>
      <c r="AM45" s="56" t="n"/>
      <c r="AN45" s="56" t="n"/>
      <c r="AO45" s="56" t="inlineStr">
        <is>
          <t>x</t>
        </is>
      </c>
      <c r="AP45" s="56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  <c r="AZ45" s="62" t="n"/>
      <c r="BA45" s="62" t="n"/>
      <c r="BB45" s="62" t="n"/>
      <c r="BC45" s="62" t="n"/>
      <c r="BD45" s="62" t="n"/>
      <c r="BE45" s="62" t="n"/>
      <c r="BF45" s="62" t="n"/>
      <c r="BG45" s="62" t="n"/>
      <c r="BH45" s="62" t="n"/>
      <c r="BI45" s="62" t="n"/>
      <c r="BJ45" s="62" t="n"/>
      <c r="BK45" s="62" t="n"/>
      <c r="BL45" s="62" t="n"/>
      <c r="BM45" s="62" t="n"/>
      <c r="BN45" s="62" t="n"/>
      <c r="BO45" s="62" t="n"/>
      <c r="BP45" s="62" t="n"/>
      <c r="BQ45" s="62" t="n"/>
      <c r="BR45" s="62" t="n"/>
      <c r="BS45" s="62" t="n"/>
      <c r="BT45" s="62" t="n"/>
      <c r="BU45" s="62" t="n"/>
      <c r="BV45" s="62" t="n"/>
      <c r="BW45" s="62" t="n"/>
      <c r="BX45" s="62" t="n"/>
      <c r="BY45" s="62" t="n"/>
      <c r="BZ45" s="62" t="n"/>
      <c r="CA45" s="62" t="n"/>
      <c r="CB45" s="62" t="n"/>
      <c r="EU45" s="30" t="n"/>
      <c r="EV45" s="30" t="n"/>
      <c r="EW45" s="30" t="n"/>
    </row>
    <row r="46" ht="15" customHeight="1">
      <c r="A46" s="61" t="inlineStr">
        <is>
          <t>Cheque</t>
        </is>
      </c>
      <c r="B46" s="56" t="n"/>
      <c r="C46" s="56" t="inlineStr">
        <is>
          <t>x</t>
        </is>
      </c>
      <c r="D46" s="56" t="inlineStr">
        <is>
          <t>x</t>
        </is>
      </c>
      <c r="E46" s="56" t="inlineStr">
        <is>
          <t>x</t>
        </is>
      </c>
      <c r="F46" s="56" t="inlineStr">
        <is>
          <t>x</t>
        </is>
      </c>
      <c r="G46" s="56" t="n"/>
      <c r="H46" s="56" t="n"/>
      <c r="I46" s="56" t="n"/>
      <c r="J46" s="56" t="inlineStr">
        <is>
          <t>x</t>
        </is>
      </c>
      <c r="K46" s="56" t="n"/>
      <c r="L46" s="56" t="inlineStr">
        <is>
          <t>x</t>
        </is>
      </c>
      <c r="M46" s="56" t="n"/>
      <c r="N46" s="56" t="n"/>
      <c r="O46" s="56" t="n"/>
      <c r="P46" s="56" t="inlineStr">
        <is>
          <t>x</t>
        </is>
      </c>
      <c r="Q46" s="56" t="n"/>
      <c r="R46" s="56" t="n"/>
      <c r="S46" s="56" t="inlineStr">
        <is>
          <t>x</t>
        </is>
      </c>
      <c r="T46" s="56" t="n"/>
      <c r="U46" s="56" t="n"/>
      <c r="V46" s="56" t="n"/>
      <c r="W46" s="56" t="inlineStr">
        <is>
          <t>x</t>
        </is>
      </c>
      <c r="X46" s="56" t="n"/>
      <c r="Y46" s="56" t="inlineStr">
        <is>
          <t>x</t>
        </is>
      </c>
      <c r="Z46" s="56" t="n"/>
      <c r="AA46" s="56" t="n"/>
      <c r="AB46" s="56" t="n"/>
      <c r="AC46" s="56" t="n"/>
      <c r="AD46" s="56" t="inlineStr">
        <is>
          <t>x</t>
        </is>
      </c>
      <c r="AE46" s="56" t="n"/>
      <c r="AF46" s="56" t="n"/>
      <c r="AG46" s="56" t="inlineStr">
        <is>
          <t>x</t>
        </is>
      </c>
      <c r="AH46" s="56" t="n"/>
      <c r="AI46" s="56" t="inlineStr">
        <is>
          <t>x</t>
        </is>
      </c>
      <c r="AJ46" s="56" t="n"/>
      <c r="AK46" s="56" t="n"/>
      <c r="AL46" s="56" t="n"/>
      <c r="AM46" s="56" t="n"/>
      <c r="AN46" s="56" t="inlineStr">
        <is>
          <t>x</t>
        </is>
      </c>
      <c r="AO46" s="56" t="n"/>
      <c r="AP46" s="56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  <c r="AZ46" s="62" t="n"/>
      <c r="BA46" s="62" t="n"/>
      <c r="BB46" s="62" t="n"/>
      <c r="BC46" s="62" t="n"/>
      <c r="BD46" s="62" t="n"/>
      <c r="BE46" s="62" t="n"/>
      <c r="BF46" s="62" t="n"/>
      <c r="BG46" s="62" t="n"/>
      <c r="BH46" s="62" t="n"/>
      <c r="BI46" s="62" t="n"/>
      <c r="BJ46" s="62" t="n"/>
      <c r="BK46" s="62" t="n"/>
      <c r="BL46" s="62" t="n"/>
      <c r="BM46" s="62" t="n"/>
      <c r="BN46" s="62" t="n"/>
      <c r="BO46" s="62" t="n"/>
      <c r="BP46" s="62" t="n"/>
      <c r="BQ46" s="62" t="n"/>
      <c r="BR46" s="62" t="n"/>
      <c r="BS46" s="62" t="n"/>
      <c r="BT46" s="62" t="n"/>
      <c r="BU46" s="62" t="n"/>
      <c r="BV46" s="62" t="n"/>
      <c r="BW46" s="62" t="n"/>
      <c r="BX46" s="62" t="n"/>
      <c r="BY46" s="62" t="n"/>
      <c r="BZ46" s="62" t="n"/>
      <c r="CA46" s="62" t="n"/>
      <c r="CB46" s="62" t="n"/>
      <c r="EU46" s="30" t="n"/>
      <c r="EV46" s="30" t="n"/>
      <c r="EW46" s="30" t="n"/>
    </row>
    <row r="47" ht="15" customHeight="1">
      <c r="A47" s="61" t="inlineStr">
        <is>
          <t>Ahorro</t>
        </is>
      </c>
      <c r="B47" s="56" t="n"/>
      <c r="C47" s="56" t="n"/>
      <c r="D47" s="56" t="n"/>
      <c r="E47" s="56" t="n"/>
      <c r="F47" s="56" t="n"/>
      <c r="G47" s="56" t="inlineStr">
        <is>
          <t>x</t>
        </is>
      </c>
      <c r="H47" s="56" t="n"/>
      <c r="I47" s="56" t="inlineStr">
        <is>
          <t>x</t>
        </is>
      </c>
      <c r="J47" s="56" t="n"/>
      <c r="K47" s="56" t="n"/>
      <c r="L47" s="56" t="n"/>
      <c r="M47" s="56" t="inlineStr">
        <is>
          <t>x</t>
        </is>
      </c>
      <c r="N47" s="56" t="n"/>
      <c r="O47" s="56" t="inlineStr">
        <is>
          <t>x</t>
        </is>
      </c>
      <c r="P47" s="56" t="n"/>
      <c r="Q47" s="56" t="n"/>
      <c r="R47" s="56" t="n"/>
      <c r="S47" s="56" t="n"/>
      <c r="T47" s="56" t="inlineStr">
        <is>
          <t>x</t>
        </is>
      </c>
      <c r="U47" s="56" t="n"/>
      <c r="V47" s="56" t="inlineStr">
        <is>
          <t>x</t>
        </is>
      </c>
      <c r="W47" s="56" t="n"/>
      <c r="X47" s="56" t="n"/>
      <c r="Y47" s="56" t="n"/>
      <c r="Z47" s="56" t="inlineStr">
        <is>
          <t>x</t>
        </is>
      </c>
      <c r="AA47" s="56" t="n"/>
      <c r="AB47" s="56" t="n"/>
      <c r="AC47" s="56" t="n"/>
      <c r="AD47" s="56" t="n"/>
      <c r="AE47" s="56" t="inlineStr">
        <is>
          <t>x</t>
        </is>
      </c>
      <c r="AF47" s="56" t="n"/>
      <c r="AG47" s="56" t="n"/>
      <c r="AH47" s="56" t="n"/>
      <c r="AI47" s="56" t="n"/>
      <c r="AJ47" s="56" t="inlineStr">
        <is>
          <t>x</t>
        </is>
      </c>
      <c r="AK47" s="56" t="n"/>
      <c r="AL47" s="56" t="n"/>
      <c r="AM47" s="56" t="inlineStr">
        <is>
          <t>x</t>
        </is>
      </c>
      <c r="AN47" s="56" t="n"/>
      <c r="AO47" s="56" t="n"/>
      <c r="AP47" s="56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  <c r="AZ47" s="62" t="n"/>
      <c r="BA47" s="62" t="n"/>
      <c r="BB47" s="62" t="n"/>
      <c r="BC47" s="62" t="n"/>
      <c r="BD47" s="62" t="n"/>
      <c r="BE47" s="62" t="n"/>
      <c r="BF47" s="62" t="n"/>
      <c r="BG47" s="62" t="n"/>
      <c r="BH47" s="62" t="n"/>
      <c r="BI47" s="62" t="n"/>
      <c r="BJ47" s="62" t="n"/>
      <c r="BK47" s="62" t="n"/>
      <c r="BL47" s="62" t="n"/>
      <c r="BM47" s="62" t="n"/>
      <c r="BN47" s="62" t="n"/>
      <c r="BO47" s="62" t="n"/>
      <c r="BP47" s="62" t="n"/>
      <c r="BQ47" s="62" t="n"/>
      <c r="BR47" s="62" t="n"/>
      <c r="BS47" s="62" t="n"/>
      <c r="BT47" s="62" t="n"/>
      <c r="BU47" s="62" t="n"/>
      <c r="BV47" s="62" t="n"/>
      <c r="BW47" s="62" t="n"/>
      <c r="BX47" s="62" t="n"/>
      <c r="BY47" s="62" t="n"/>
      <c r="BZ47" s="62" t="n"/>
      <c r="CA47" s="62" t="n"/>
      <c r="CB47" s="62" t="n"/>
      <c r="EU47" s="30" t="n"/>
      <c r="EV47" s="30" t="n"/>
      <c r="EW47" s="30" t="n"/>
    </row>
    <row r="48" ht="15" customHeight="1">
      <c r="A48" s="61" t="inlineStr">
        <is>
          <t>Mixto</t>
        </is>
      </c>
      <c r="B48" s="56" t="n"/>
      <c r="C48" s="56" t="n"/>
      <c r="D48" s="56" t="n"/>
      <c r="E48" s="56" t="n"/>
      <c r="F48" s="56" t="n"/>
      <c r="G48" s="56" t="n"/>
      <c r="H48" s="56" t="inlineStr">
        <is>
          <t>x</t>
        </is>
      </c>
      <c r="I48" s="56" t="n"/>
      <c r="J48" s="56" t="n"/>
      <c r="K48" s="56" t="n"/>
      <c r="L48" s="56" t="n"/>
      <c r="M48" s="56" t="n"/>
      <c r="N48" s="56" t="inlineStr">
        <is>
          <t>x</t>
        </is>
      </c>
      <c r="O48" s="56" t="n"/>
      <c r="P48" s="56" t="n"/>
      <c r="Q48" s="56" t="n"/>
      <c r="R48" s="56" t="n"/>
      <c r="S48" s="56" t="n"/>
      <c r="T48" s="56" t="n"/>
      <c r="U48" s="56" t="inlineStr">
        <is>
          <t>x</t>
        </is>
      </c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inlineStr">
        <is>
          <t>x</t>
        </is>
      </c>
      <c r="AG48" s="56" t="n"/>
      <c r="AH48" s="56" t="n"/>
      <c r="AI48" s="56" t="n"/>
      <c r="AJ48" s="56" t="n"/>
      <c r="AK48" s="56" t="inlineStr">
        <is>
          <t>x</t>
        </is>
      </c>
      <c r="AL48" s="56" t="n"/>
      <c r="AM48" s="56" t="n"/>
      <c r="AN48" s="56" t="n"/>
      <c r="AO48" s="56" t="n"/>
      <c r="AP48" s="56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  <c r="AZ48" s="62" t="n"/>
      <c r="BA48" s="62" t="n"/>
      <c r="BB48" s="62" t="n"/>
      <c r="BC48" s="62" t="n"/>
      <c r="BD48" s="62" t="n"/>
      <c r="BE48" s="62" t="n"/>
      <c r="BF48" s="62" t="n"/>
      <c r="BG48" s="62" t="n"/>
      <c r="BH48" s="62" t="n"/>
      <c r="BI48" s="62" t="n"/>
      <c r="BJ48" s="62" t="n"/>
      <c r="BK48" s="62" t="n"/>
      <c r="BL48" s="62" t="n"/>
      <c r="BM48" s="62" t="n"/>
      <c r="BN48" s="62" t="n"/>
      <c r="BO48" s="62" t="n"/>
      <c r="BP48" s="62" t="n"/>
      <c r="BQ48" s="62" t="n"/>
      <c r="BR48" s="62" t="n"/>
      <c r="BS48" s="62" t="n"/>
      <c r="BT48" s="62" t="n"/>
      <c r="BU48" s="62" t="n"/>
      <c r="BV48" s="62" t="n"/>
      <c r="BW48" s="62" t="n"/>
      <c r="BX48" s="62" t="n"/>
      <c r="BY48" s="62" t="n"/>
      <c r="BZ48" s="62" t="n"/>
      <c r="CA48" s="62" t="n"/>
      <c r="CB48" s="62" t="n"/>
      <c r="EU48" s="30" t="n"/>
      <c r="EV48" s="30" t="n"/>
      <c r="EW48" s="30" t="n"/>
    </row>
    <row r="49" ht="15" customHeight="1">
      <c r="A49" s="47" t="inlineStr">
        <is>
          <t>Importe</t>
        </is>
      </c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  <c r="AZ49" s="62" t="n"/>
      <c r="BA49" s="62" t="n"/>
      <c r="BB49" s="62" t="n"/>
      <c r="BC49" s="62" t="n"/>
      <c r="BD49" s="62" t="n"/>
      <c r="BE49" s="62" t="n"/>
      <c r="BF49" s="62" t="n"/>
      <c r="BG49" s="62" t="n"/>
      <c r="BH49" s="62" t="n"/>
      <c r="BI49" s="62" t="n"/>
      <c r="BJ49" s="62" t="n"/>
      <c r="BK49" s="62" t="n"/>
      <c r="BL49" s="62" t="n"/>
      <c r="BM49" s="62" t="n"/>
      <c r="BN49" s="62" t="n"/>
      <c r="BO49" s="62" t="n"/>
      <c r="BP49" s="62" t="n"/>
      <c r="BQ49" s="62" t="n"/>
      <c r="BR49" s="62" t="n"/>
      <c r="BS49" s="62" t="n"/>
      <c r="BT49" s="62" t="n"/>
      <c r="BU49" s="62" t="n"/>
      <c r="BV49" s="62" t="n"/>
      <c r="BW49" s="62" t="n"/>
      <c r="BX49" s="62" t="n"/>
      <c r="BY49" s="62" t="n"/>
      <c r="BZ49" s="62" t="n"/>
      <c r="CA49" s="62" t="n"/>
      <c r="CB49" s="62" t="n"/>
      <c r="EU49" s="30" t="n"/>
      <c r="EV49" s="30" t="n"/>
      <c r="EW49" s="30" t="n"/>
    </row>
    <row r="50" ht="15" customHeight="1">
      <c r="A50" s="52" t="inlineStr">
        <is>
          <t>$4.300 COP &lt;=  x &lt;= $9.900.000 COP</t>
        </is>
      </c>
      <c r="B50" s="56" t="inlineStr">
        <is>
          <t>x</t>
        </is>
      </c>
      <c r="C50" s="56" t="inlineStr">
        <is>
          <t>x</t>
        </is>
      </c>
      <c r="D50" s="56" t="inlineStr">
        <is>
          <t>x</t>
        </is>
      </c>
      <c r="E50" s="56" t="inlineStr">
        <is>
          <t>x</t>
        </is>
      </c>
      <c r="F50" s="56" t="n"/>
      <c r="G50" s="56" t="inlineStr">
        <is>
          <t>x</t>
        </is>
      </c>
      <c r="H50" s="56" t="inlineStr">
        <is>
          <t>x</t>
        </is>
      </c>
      <c r="I50" s="56" t="inlineStr">
        <is>
          <t>x</t>
        </is>
      </c>
      <c r="J50" s="56" t="inlineStr">
        <is>
          <t>x</t>
        </is>
      </c>
      <c r="K50" s="56" t="inlineStr">
        <is>
          <t>x</t>
        </is>
      </c>
      <c r="L50" s="56" t="inlineStr">
        <is>
          <t>x</t>
        </is>
      </c>
      <c r="M50" s="56" t="n"/>
      <c r="N50" s="56" t="n"/>
      <c r="O50" s="56" t="n"/>
      <c r="P50" s="56" t="n"/>
      <c r="Q50" s="56" t="n"/>
      <c r="R50" s="56" t="inlineStr">
        <is>
          <t>x</t>
        </is>
      </c>
      <c r="S50" s="56" t="inlineStr">
        <is>
          <t>x</t>
        </is>
      </c>
      <c r="T50" s="56" t="inlineStr">
        <is>
          <t>x</t>
        </is>
      </c>
      <c r="U50" s="56" t="inlineStr">
        <is>
          <t>x</t>
        </is>
      </c>
      <c r="V50" s="56" t="inlineStr">
        <is>
          <t>x</t>
        </is>
      </c>
      <c r="W50" s="56" t="n"/>
      <c r="X50" s="56" t="n"/>
      <c r="Y50" s="56" t="n"/>
      <c r="Z50" s="56" t="n"/>
      <c r="AA50" s="56" t="n"/>
      <c r="AB50" s="56" t="n"/>
      <c r="AC50" s="56" t="inlineStr">
        <is>
          <t>x</t>
        </is>
      </c>
      <c r="AD50" s="56" t="inlineStr">
        <is>
          <t>x</t>
        </is>
      </c>
      <c r="AE50" s="56" t="inlineStr">
        <is>
          <t>x</t>
        </is>
      </c>
      <c r="AF50" s="56" t="inlineStr">
        <is>
          <t>x</t>
        </is>
      </c>
      <c r="AG50" s="56" t="inlineStr">
        <is>
          <t>x</t>
        </is>
      </c>
      <c r="AH50" s="56" t="inlineStr">
        <is>
          <t>x</t>
        </is>
      </c>
      <c r="AI50" s="56" t="inlineStr">
        <is>
          <t>x</t>
        </is>
      </c>
      <c r="AJ50" s="56" t="inlineStr">
        <is>
          <t>x</t>
        </is>
      </c>
      <c r="AK50" s="56" t="inlineStr">
        <is>
          <t>x</t>
        </is>
      </c>
      <c r="AL50" s="56" t="inlineStr">
        <is>
          <t>x</t>
        </is>
      </c>
      <c r="AM50" s="56" t="n"/>
      <c r="AN50" s="56" t="n"/>
      <c r="AO50" s="56" t="n"/>
      <c r="AP50" s="56" t="n"/>
      <c r="AQ50" s="56" t="n"/>
      <c r="AR50" s="56" t="inlineStr">
        <is>
          <t>x</t>
        </is>
      </c>
      <c r="AS50" s="56" t="n"/>
      <c r="AT50" s="56" t="inlineStr">
        <is>
          <t>x</t>
        </is>
      </c>
      <c r="AU50" s="56" t="n"/>
      <c r="AV50" s="56" t="n"/>
      <c r="AW50" s="56" t="inlineStr">
        <is>
          <t>x</t>
        </is>
      </c>
      <c r="AX50" s="56" t="n"/>
      <c r="AY50" s="62" t="n"/>
      <c r="AZ50" s="56" t="n"/>
      <c r="BA50" s="56" t="inlineStr">
        <is>
          <t>x</t>
        </is>
      </c>
      <c r="BB50" s="56" t="n"/>
      <c r="BC50" s="62" t="n"/>
      <c r="BD50" s="56" t="n"/>
      <c r="BE50" s="56" t="inlineStr">
        <is>
          <t>x</t>
        </is>
      </c>
      <c r="BF50" s="56" t="inlineStr">
        <is>
          <t>x</t>
        </is>
      </c>
      <c r="BG50" s="56" t="n"/>
      <c r="BH50" s="56" t="n"/>
      <c r="BI50" s="62" t="n"/>
      <c r="BJ50" s="62" t="n"/>
      <c r="BK50" s="62" t="n"/>
      <c r="BL50" s="62" t="n"/>
      <c r="BM50" s="62" t="n"/>
      <c r="BN50" s="62" t="n"/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2" t="n"/>
      <c r="BX50" s="62" t="n"/>
      <c r="BY50" s="62" t="n"/>
      <c r="BZ50" s="62" t="n"/>
      <c r="CA50" s="62" t="n"/>
      <c r="CB50" s="62" t="n"/>
      <c r="EU50" s="30" t="n"/>
      <c r="EV50" s="30" t="n"/>
      <c r="EW50" s="30" t="n"/>
    </row>
    <row r="51" ht="15" customHeight="1">
      <c r="A51" s="52" t="inlineStr">
        <is>
          <t xml:space="preserve"> x &lt; $4.300 COP</t>
        </is>
      </c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inlineStr">
        <is>
          <t>x</t>
        </is>
      </c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inlineStr">
        <is>
          <t>x</t>
        </is>
      </c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inlineStr">
        <is>
          <t>x</t>
        </is>
      </c>
      <c r="AN51" s="56" t="n"/>
      <c r="AO51" s="56" t="n"/>
      <c r="AP51" s="56" t="n"/>
      <c r="AQ51" s="56" t="n"/>
      <c r="AR51" s="56" t="n"/>
      <c r="AS51" s="56" t="inlineStr">
        <is>
          <t>x</t>
        </is>
      </c>
      <c r="AT51" s="56" t="n"/>
      <c r="AU51" s="56" t="n"/>
      <c r="AV51" s="56" t="n"/>
      <c r="AW51" s="56" t="n"/>
      <c r="AX51" s="56" t="inlineStr">
        <is>
          <t>x</t>
        </is>
      </c>
      <c r="AY51" s="62" t="n"/>
      <c r="AZ51" s="56" t="n"/>
      <c r="BA51" s="56" t="n"/>
      <c r="BB51" s="56" t="inlineStr">
        <is>
          <t>x</t>
        </is>
      </c>
      <c r="BC51" s="62" t="n"/>
      <c r="BD51" s="56" t="n"/>
      <c r="BE51" s="56" t="n"/>
      <c r="BF51" s="56" t="n"/>
      <c r="BG51" s="56" t="n"/>
      <c r="BH51" s="56" t="n"/>
      <c r="BI51" s="62" t="n"/>
      <c r="BJ51" s="62" t="n"/>
      <c r="BK51" s="62" t="n"/>
      <c r="BL51" s="62" t="n"/>
      <c r="BM51" s="62" t="n"/>
      <c r="BN51" s="62" t="n"/>
      <c r="BO51" s="62" t="n"/>
      <c r="BP51" s="62" t="n"/>
      <c r="BQ51" s="62" t="n"/>
      <c r="BR51" s="62" t="n"/>
      <c r="BS51" s="62" t="n"/>
      <c r="BT51" s="62" t="n"/>
      <c r="BU51" s="62" t="n"/>
      <c r="BV51" s="62" t="n"/>
      <c r="BW51" s="62" t="n"/>
      <c r="BX51" s="62" t="n"/>
      <c r="BY51" s="56" t="inlineStr">
        <is>
          <t>x</t>
        </is>
      </c>
      <c r="BZ51" s="56" t="inlineStr">
        <is>
          <t>x</t>
        </is>
      </c>
      <c r="CA51" s="56" t="n"/>
      <c r="CB51" s="56" t="n"/>
      <c r="EU51" s="30" t="n"/>
      <c r="EV51" s="30" t="n"/>
      <c r="EW51" s="30" t="n"/>
    </row>
    <row r="52" ht="15" customHeight="1">
      <c r="A52" s="61" t="inlineStr">
        <is>
          <t>x &gt; $9.900.000 COP</t>
        </is>
      </c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inlineStr">
        <is>
          <t>x</t>
        </is>
      </c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inlineStr">
        <is>
          <t>x</t>
        </is>
      </c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inlineStr">
        <is>
          <t>x</t>
        </is>
      </c>
      <c r="AO52" s="56" t="n"/>
      <c r="AP52" s="56" t="n"/>
      <c r="AQ52" s="56" t="n"/>
      <c r="AR52" s="56" t="n"/>
      <c r="AS52" s="56" t="n"/>
      <c r="AT52" s="56" t="n"/>
      <c r="AU52" s="56" t="inlineStr">
        <is>
          <t>x</t>
        </is>
      </c>
      <c r="AV52" s="56" t="n"/>
      <c r="AW52" s="56" t="n"/>
      <c r="AX52" s="56" t="n"/>
      <c r="AY52" s="62" t="n"/>
      <c r="AZ52" s="56" t="n"/>
      <c r="BA52" s="56" t="n"/>
      <c r="BB52" s="56" t="n"/>
      <c r="BC52" s="62" t="n"/>
      <c r="BD52" s="56" t="n"/>
      <c r="BE52" s="56" t="n"/>
      <c r="BF52" s="56" t="n"/>
      <c r="BG52" s="56" t="inlineStr">
        <is>
          <t>x</t>
        </is>
      </c>
      <c r="BH52" s="56" t="n"/>
      <c r="BI52" s="62" t="n"/>
      <c r="BJ52" s="62" t="n"/>
      <c r="BK52" s="62" t="n"/>
      <c r="BL52" s="62" t="n"/>
      <c r="BM52" s="62" t="n"/>
      <c r="BN52" s="62" t="n"/>
      <c r="BO52" s="62" t="n"/>
      <c r="BP52" s="62" t="n"/>
      <c r="BQ52" s="62" t="n"/>
      <c r="BR52" s="62" t="n"/>
      <c r="BS52" s="62" t="n"/>
      <c r="BT52" s="62" t="n"/>
      <c r="BU52" s="62" t="n"/>
      <c r="BV52" s="62" t="n"/>
      <c r="BW52" s="62" t="n"/>
      <c r="BX52" s="62" t="n"/>
      <c r="BY52" s="56" t="n"/>
      <c r="BZ52" s="56" t="n"/>
      <c r="CA52" s="56" t="n"/>
      <c r="CB52" s="56" t="n"/>
      <c r="EU52" s="30" t="n"/>
      <c r="EV52" s="30" t="n"/>
      <c r="EW52" s="30" t="n"/>
    </row>
    <row r="53" ht="15" customHeight="1">
      <c r="A53" s="61" t="inlineStr">
        <is>
          <t>No válido o vacío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inlineStr">
        <is>
          <t>x</t>
        </is>
      </c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inlineStr">
        <is>
          <t>x</t>
        </is>
      </c>
      <c r="Z53" s="56" t="inlineStr">
        <is>
          <t>x</t>
        </is>
      </c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inlineStr">
        <is>
          <t>x</t>
        </is>
      </c>
      <c r="AP53" s="56" t="n"/>
      <c r="AQ53" s="56" t="n"/>
      <c r="AR53" s="56" t="n"/>
      <c r="AS53" s="56" t="n"/>
      <c r="AT53" s="56" t="n"/>
      <c r="AU53" s="56" t="n"/>
      <c r="AV53" s="56" t="inlineStr">
        <is>
          <t>x</t>
        </is>
      </c>
      <c r="AW53" s="56" t="n"/>
      <c r="AX53" s="56" t="n"/>
      <c r="AY53" s="62" t="n"/>
      <c r="AZ53" s="56" t="inlineStr">
        <is>
          <t>x</t>
        </is>
      </c>
      <c r="BA53" s="56" t="n"/>
      <c r="BB53" s="56" t="n"/>
      <c r="BC53" s="62" t="n"/>
      <c r="BD53" s="56" t="inlineStr">
        <is>
          <t>x</t>
        </is>
      </c>
      <c r="BE53" s="56" t="n"/>
      <c r="BF53" s="56" t="n"/>
      <c r="BG53" s="56" t="n"/>
      <c r="BH53" s="56" t="inlineStr">
        <is>
          <t>x</t>
        </is>
      </c>
      <c r="BI53" s="62" t="n"/>
      <c r="BJ53" s="62" t="n"/>
      <c r="BK53" s="62" t="n"/>
      <c r="BL53" s="62" t="n"/>
      <c r="BM53" s="62" t="n"/>
      <c r="BN53" s="62" t="n"/>
      <c r="BO53" s="62" t="n"/>
      <c r="BP53" s="62" t="n"/>
      <c r="BQ53" s="62" t="n"/>
      <c r="BR53" s="62" t="n"/>
      <c r="BS53" s="62" t="n"/>
      <c r="BT53" s="62" t="n"/>
      <c r="BU53" s="62" t="n"/>
      <c r="BV53" s="62" t="n"/>
      <c r="BW53" s="62" t="n"/>
      <c r="BX53" s="62" t="n"/>
      <c r="BY53" s="56" t="n"/>
      <c r="BZ53" s="56" t="n"/>
      <c r="CA53" s="56" t="n"/>
      <c r="CB53" s="56" t="inlineStr">
        <is>
          <t>x</t>
        </is>
      </c>
      <c r="EU53" s="30" t="n"/>
      <c r="EV53" s="30" t="n"/>
      <c r="EW53" s="30" t="n"/>
    </row>
    <row r="54" ht="15" customHeight="1">
      <c r="A54" s="47" t="inlineStr">
        <is>
          <t>Subcuenta (Pago Ahorro)</t>
        </is>
      </c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  <c r="AZ54" s="62" t="n"/>
      <c r="BA54" s="62" t="n"/>
      <c r="BB54" s="62" t="n"/>
      <c r="BC54" s="62" t="n"/>
      <c r="BD54" s="62" t="n"/>
      <c r="BE54" s="62" t="n"/>
      <c r="BF54" s="62" t="n"/>
      <c r="BG54" s="62" t="n"/>
      <c r="BH54" s="62" t="n"/>
      <c r="BI54" s="62" t="n"/>
      <c r="BJ54" s="62" t="n"/>
      <c r="BK54" s="62" t="n"/>
      <c r="BL54" s="62" t="n"/>
      <c r="BM54" s="62" t="n"/>
      <c r="BN54" s="62" t="n"/>
      <c r="BO54" s="62" t="n"/>
      <c r="BP54" s="62" t="n"/>
      <c r="BQ54" s="62" t="n"/>
      <c r="BR54" s="62" t="n"/>
      <c r="BS54" s="62" t="n"/>
      <c r="BT54" s="62" t="n"/>
      <c r="BU54" s="62" t="n"/>
      <c r="BV54" s="62" t="n"/>
      <c r="BW54" s="62" t="n"/>
      <c r="BX54" s="62" t="n"/>
      <c r="BY54" s="62" t="n"/>
      <c r="BZ54" s="62" t="n"/>
      <c r="CA54" s="62" t="n"/>
      <c r="CB54" s="62" t="n"/>
      <c r="EU54" s="30" t="n"/>
      <c r="EV54" s="30" t="n"/>
      <c r="EW54" s="30" t="n"/>
    </row>
    <row r="55" ht="15" customHeight="1">
      <c r="A55" s="52" t="inlineStr">
        <is>
          <t>Seleccionada y válida</t>
        </is>
      </c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  <c r="AZ55" s="62" t="n"/>
      <c r="BA55" s="62" t="n"/>
      <c r="BB55" s="62" t="n"/>
      <c r="BC55" s="62" t="n"/>
      <c r="BD55" s="62" t="n"/>
      <c r="BE55" s="62" t="n"/>
      <c r="BF55" s="62" t="n"/>
      <c r="BG55" s="62" t="n"/>
      <c r="BH55" s="62" t="n"/>
      <c r="BI55" s="62" t="n"/>
      <c r="BJ55" s="62" t="n"/>
      <c r="BK55" s="62" t="n"/>
      <c r="BL55" s="62" t="n"/>
      <c r="BM55" s="62" t="n"/>
      <c r="BN55" s="62" t="n"/>
      <c r="BO55" s="62" t="n"/>
      <c r="BP55" s="62" t="n"/>
      <c r="BQ55" s="62" t="n"/>
      <c r="BR55" s="62" t="n"/>
      <c r="BS55" s="62" t="n"/>
      <c r="BT55" s="62" t="n"/>
      <c r="BU55" s="62" t="n"/>
      <c r="BV55" s="62" t="n"/>
      <c r="BW55" s="62" t="n"/>
      <c r="BX55" s="62" t="n"/>
      <c r="BY55" s="62" t="n"/>
      <c r="BZ55" s="62" t="n"/>
      <c r="CA55" s="62" t="n"/>
      <c r="CB55" s="62" t="n"/>
      <c r="EU55" s="30" t="n"/>
      <c r="EV55" s="30" t="n"/>
      <c r="EW55" s="30" t="n"/>
    </row>
    <row r="56" ht="15" customHeight="1">
      <c r="A56" s="52" t="inlineStr">
        <is>
          <t>No válida o vacía</t>
        </is>
      </c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  <c r="AZ56" s="62" t="n"/>
      <c r="BA56" s="62" t="n"/>
      <c r="BB56" s="62" t="n"/>
      <c r="BC56" s="62" t="n"/>
      <c r="BD56" s="62" t="n"/>
      <c r="BE56" s="62" t="n"/>
      <c r="BF56" s="62" t="n"/>
      <c r="BG56" s="62" t="n"/>
      <c r="BH56" s="62" t="n"/>
      <c r="BI56" s="62" t="n"/>
      <c r="BJ56" s="62" t="n"/>
      <c r="BK56" s="62" t="n"/>
      <c r="BL56" s="62" t="n"/>
      <c r="BM56" s="62" t="n"/>
      <c r="BN56" s="62" t="n"/>
      <c r="BO56" s="62" t="n"/>
      <c r="BP56" s="62" t="n"/>
      <c r="BQ56" s="62" t="n"/>
      <c r="BR56" s="62" t="n"/>
      <c r="BS56" s="62" t="n"/>
      <c r="BT56" s="62" t="n"/>
      <c r="BU56" s="62" t="n"/>
      <c r="BV56" s="62" t="n"/>
      <c r="BW56" s="62" t="n"/>
      <c r="BX56" s="62" t="n"/>
      <c r="BY56" s="62" t="n"/>
      <c r="BZ56" s="62" t="n"/>
      <c r="CA56" s="62" t="n"/>
      <c r="CB56" s="62" t="n"/>
      <c r="EU56" s="30" t="n"/>
      <c r="EV56" s="30" t="n"/>
      <c r="EW56" s="30" t="n"/>
    </row>
    <row r="57" ht="15" customHeight="1">
      <c r="A57" s="47" t="inlineStr">
        <is>
          <t>Selección Titular/Beneficiario</t>
        </is>
      </c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  <c r="AZ57" s="62" t="n"/>
      <c r="BA57" s="62" t="n"/>
      <c r="BB57" s="62" t="n"/>
      <c r="BC57" s="62" t="n"/>
      <c r="BD57" s="62" t="n"/>
      <c r="BE57" s="62" t="n"/>
      <c r="BF57" s="62" t="n"/>
      <c r="BG57" s="62" t="n"/>
      <c r="BH57" s="62" t="n"/>
      <c r="BI57" s="62" t="n"/>
      <c r="BJ57" s="62" t="n"/>
      <c r="BK57" s="62" t="n"/>
      <c r="BL57" s="62" t="n"/>
      <c r="BM57" s="62" t="n"/>
      <c r="BN57" s="62" t="n"/>
      <c r="BO57" s="62" t="n"/>
      <c r="BP57" s="62" t="n"/>
      <c r="BQ57" s="62" t="n"/>
      <c r="BR57" s="62" t="n"/>
      <c r="BS57" s="62" t="n"/>
      <c r="BT57" s="62" t="n"/>
      <c r="BU57" s="62" t="n"/>
      <c r="BV57" s="62" t="n"/>
      <c r="BW57" s="62" t="n"/>
      <c r="BX57" s="62" t="n"/>
      <c r="BY57" s="62" t="n"/>
      <c r="BZ57" s="62" t="n"/>
      <c r="CA57" s="62" t="n"/>
      <c r="CB57" s="62" t="n"/>
      <c r="EU57" s="30" t="n"/>
      <c r="EV57" s="30" t="n"/>
      <c r="EW57" s="30" t="n"/>
    </row>
    <row r="58" ht="15" customHeight="1">
      <c r="A58" s="52" t="inlineStr">
        <is>
          <t>Titular</t>
        </is>
      </c>
      <c r="B58" s="56" t="inlineStr">
        <is>
          <t>x</t>
        </is>
      </c>
      <c r="C58" s="56" t="n"/>
      <c r="D58" s="56" t="n"/>
      <c r="E58" s="56" t="n"/>
      <c r="F58" s="56" t="inlineStr">
        <is>
          <t>x</t>
        </is>
      </c>
      <c r="G58" s="56" t="inlineStr">
        <is>
          <t>x</t>
        </is>
      </c>
      <c r="H58" s="56" t="n"/>
      <c r="I58" s="56" t="inlineStr">
        <is>
          <t>x</t>
        </is>
      </c>
      <c r="J58" s="56" t="n"/>
      <c r="K58" s="56" t="inlineStr">
        <is>
          <t>x</t>
        </is>
      </c>
      <c r="L58" s="56" t="n"/>
      <c r="M58" s="56" t="n"/>
      <c r="N58" s="56" t="n"/>
      <c r="O58" s="56" t="n"/>
      <c r="P58" s="56" t="inlineStr">
        <is>
          <t>x</t>
        </is>
      </c>
      <c r="Q58" s="56" t="n"/>
      <c r="R58" s="56" t="inlineStr">
        <is>
          <t>x</t>
        </is>
      </c>
      <c r="S58" s="56" t="n"/>
      <c r="T58" s="56" t="inlineStr">
        <is>
          <t>x</t>
        </is>
      </c>
      <c r="U58" s="56" t="n"/>
      <c r="V58" s="56" t="inlineStr">
        <is>
          <t>x</t>
        </is>
      </c>
      <c r="W58" s="56" t="n"/>
      <c r="X58" s="56" t="n"/>
      <c r="Y58" s="56" t="n"/>
      <c r="Z58" s="56" t="n"/>
      <c r="AA58" s="56" t="n"/>
      <c r="AB58" s="56" t="n"/>
      <c r="AC58" s="56" t="inlineStr">
        <is>
          <t>x</t>
        </is>
      </c>
      <c r="AD58" s="56" t="n"/>
      <c r="AE58" s="56" t="inlineStr">
        <is>
          <t>x</t>
        </is>
      </c>
      <c r="AF58" s="56" t="n"/>
      <c r="AG58" s="56" t="n"/>
      <c r="AH58" s="56" t="inlineStr">
        <is>
          <t>x</t>
        </is>
      </c>
      <c r="AI58" s="56" t="n"/>
      <c r="AJ58" s="56" t="inlineStr">
        <is>
          <t>x</t>
        </is>
      </c>
      <c r="AK58" s="56" t="n"/>
      <c r="AL58" s="56" t="inlineStr">
        <is>
          <t>x</t>
        </is>
      </c>
      <c r="AM58" s="56" t="inlineStr">
        <is>
          <t>x</t>
        </is>
      </c>
      <c r="AN58" s="56" t="n"/>
      <c r="AO58" s="56" t="inlineStr">
        <is>
          <t>x</t>
        </is>
      </c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  <c r="AZ58" s="62" t="n"/>
      <c r="BA58" s="62" t="n"/>
      <c r="BB58" s="62" t="n"/>
      <c r="BC58" s="62" t="n"/>
      <c r="BD58" s="62" t="n"/>
      <c r="BE58" s="62" t="n"/>
      <c r="BF58" s="62" t="n"/>
      <c r="BG58" s="62" t="n"/>
      <c r="BH58" s="62" t="n"/>
      <c r="BI58" s="62" t="n"/>
      <c r="BJ58" s="62" t="n"/>
      <c r="BK58" s="62" t="n"/>
      <c r="BL58" s="62" t="n"/>
      <c r="BM58" s="62" t="n"/>
      <c r="BN58" s="62" t="n"/>
      <c r="BO58" s="62" t="n"/>
      <c r="BP58" s="62" t="n"/>
      <c r="BQ58" s="62" t="n"/>
      <c r="BR58" s="62" t="n"/>
      <c r="BS58" s="62" t="n"/>
      <c r="BT58" s="62" t="n"/>
      <c r="BU58" s="62" t="n"/>
      <c r="BV58" s="62" t="n"/>
      <c r="BW58" s="62" t="n"/>
      <c r="BX58" s="62" t="n"/>
      <c r="BY58" s="62" t="n"/>
      <c r="BZ58" s="62" t="n"/>
      <c r="CA58" s="62" t="n"/>
      <c r="CB58" s="62" t="n"/>
      <c r="EU58" s="30" t="n"/>
      <c r="EV58" s="30" t="n"/>
      <c r="EW58" s="30" t="n"/>
    </row>
    <row r="59" ht="15" customHeight="1">
      <c r="A59" s="52" t="inlineStr">
        <is>
          <t>Beneficiario</t>
        </is>
      </c>
      <c r="B59" s="56" t="n"/>
      <c r="C59" s="56" t="inlineStr">
        <is>
          <t>x</t>
        </is>
      </c>
      <c r="D59" s="56" t="inlineStr">
        <is>
          <t>x</t>
        </is>
      </c>
      <c r="E59" s="56" t="inlineStr">
        <is>
          <t>x</t>
        </is>
      </c>
      <c r="F59" s="56" t="n"/>
      <c r="G59" s="56" t="n"/>
      <c r="H59" s="56" t="inlineStr">
        <is>
          <t>x</t>
        </is>
      </c>
      <c r="I59" s="56" t="n"/>
      <c r="J59" s="56" t="inlineStr">
        <is>
          <t>x</t>
        </is>
      </c>
      <c r="K59" s="56" t="n"/>
      <c r="L59" s="56" t="inlineStr">
        <is>
          <t>x</t>
        </is>
      </c>
      <c r="M59" s="56" t="n"/>
      <c r="N59" s="56" t="n"/>
      <c r="O59" s="56" t="n"/>
      <c r="P59" s="56" t="n"/>
      <c r="Q59" s="56" t="n"/>
      <c r="R59" s="56" t="n"/>
      <c r="S59" s="56" t="inlineStr">
        <is>
          <t>x</t>
        </is>
      </c>
      <c r="T59" s="56" t="n"/>
      <c r="U59" s="56" t="inlineStr">
        <is>
          <t>x</t>
        </is>
      </c>
      <c r="V59" s="56" t="n"/>
      <c r="W59" s="56" t="n"/>
      <c r="X59" s="56" t="n"/>
      <c r="Y59" s="56" t="n"/>
      <c r="Z59" s="56" t="n"/>
      <c r="AA59" s="56" t="n"/>
      <c r="AB59" s="56" t="n"/>
      <c r="AC59" s="56" t="n"/>
      <c r="AD59" s="56" t="inlineStr">
        <is>
          <t>x</t>
        </is>
      </c>
      <c r="AE59" s="56" t="n"/>
      <c r="AF59" s="56" t="inlineStr">
        <is>
          <t>x</t>
        </is>
      </c>
      <c r="AG59" s="56" t="inlineStr">
        <is>
          <t>x</t>
        </is>
      </c>
      <c r="AH59" s="56" t="n"/>
      <c r="AI59" s="56" t="inlineStr">
        <is>
          <t>x</t>
        </is>
      </c>
      <c r="AJ59" s="56" t="n"/>
      <c r="AK59" s="56" t="inlineStr">
        <is>
          <t>x</t>
        </is>
      </c>
      <c r="AL59" s="56" t="n"/>
      <c r="AM59" s="56" t="n"/>
      <c r="AN59" s="56" t="inlineStr">
        <is>
          <t>x</t>
        </is>
      </c>
      <c r="AO59" s="56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  <c r="AZ59" s="62" t="n"/>
      <c r="BA59" s="62" t="n"/>
      <c r="BB59" s="62" t="n"/>
      <c r="BC59" s="62" t="n"/>
      <c r="BD59" s="62" t="n"/>
      <c r="BE59" s="62" t="n"/>
      <c r="BF59" s="62" t="n"/>
      <c r="BG59" s="62" t="n"/>
      <c r="BH59" s="62" t="n"/>
      <c r="BI59" s="62" t="n"/>
      <c r="BJ59" s="62" t="n"/>
      <c r="BK59" s="62" t="n"/>
      <c r="BL59" s="62" t="n"/>
      <c r="BM59" s="62" t="n"/>
      <c r="BN59" s="62" t="n"/>
      <c r="BO59" s="62" t="n"/>
      <c r="BP59" s="62" t="n"/>
      <c r="BQ59" s="62" t="n"/>
      <c r="BR59" s="62" t="n"/>
      <c r="BS59" s="62" t="n"/>
      <c r="BT59" s="62" t="n"/>
      <c r="BU59" s="62" t="n"/>
      <c r="BV59" s="62" t="n"/>
      <c r="BW59" s="62" t="n"/>
      <c r="BX59" s="62" t="n"/>
      <c r="BY59" s="62" t="n"/>
      <c r="BZ59" s="62" t="n"/>
      <c r="CA59" s="62" t="n"/>
      <c r="CB59" s="62" t="n"/>
      <c r="EU59" s="30" t="n"/>
      <c r="EV59" s="30" t="n"/>
      <c r="EW59" s="30" t="n"/>
    </row>
    <row r="60" ht="15" customHeight="1">
      <c r="A60" s="47" t="inlineStr">
        <is>
          <t>Tipo de documento lde beneficiario (duda)</t>
        </is>
      </c>
      <c r="U60" s="62" t="n"/>
      <c r="V60" s="62" t="n"/>
      <c r="W60" s="62" t="n"/>
      <c r="X60" s="62" t="n"/>
      <c r="Y60" s="62" t="n"/>
      <c r="Z60" s="62" t="n"/>
      <c r="AA60" s="62" t="n"/>
      <c r="AB60" s="62" t="n"/>
      <c r="AF60" s="62" t="n"/>
      <c r="AG60" s="62" t="n"/>
      <c r="AK60" s="62" t="n"/>
      <c r="AL60" s="62" t="n"/>
      <c r="AN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  <c r="AZ60" s="62" t="n"/>
      <c r="BA60" s="62" t="n"/>
      <c r="BB60" s="62" t="n"/>
      <c r="BC60" s="62" t="n"/>
      <c r="BD60" s="62" t="n"/>
      <c r="BE60" s="62" t="n"/>
      <c r="BF60" s="62" t="n"/>
      <c r="BG60" s="62" t="n"/>
      <c r="BH60" s="62" t="n"/>
      <c r="BI60" s="62" t="n"/>
      <c r="BJ60" s="62" t="n"/>
      <c r="BK60" s="62" t="n"/>
      <c r="BL60" s="62" t="n"/>
      <c r="BM60" s="62" t="n"/>
      <c r="BN60" s="62" t="n"/>
      <c r="BO60" s="62" t="n"/>
      <c r="BP60" s="62" t="n"/>
      <c r="BQ60" s="62" t="n"/>
      <c r="BR60" s="62" t="n"/>
      <c r="BS60" s="62" t="n"/>
      <c r="BT60" s="62" t="n"/>
      <c r="BU60" s="62" t="n"/>
      <c r="BV60" s="62" t="n"/>
      <c r="BW60" s="62" t="n"/>
      <c r="BX60" s="62" t="n"/>
      <c r="BY60" s="62" t="n"/>
      <c r="BZ60" s="62" t="n"/>
      <c r="CA60" s="62" t="n"/>
      <c r="CB60" s="62" t="n"/>
      <c r="EU60" s="30" t="n"/>
      <c r="EV60" s="30" t="n"/>
      <c r="EW60" s="30" t="n"/>
    </row>
    <row r="61" ht="15" customHeight="1">
      <c r="A61" s="52" t="inlineStr">
        <is>
          <t>Cédula de ciudadanía</t>
        </is>
      </c>
      <c r="B61" s="56" t="inlineStr">
        <is>
          <t>x</t>
        </is>
      </c>
      <c r="C61" s="56" t="inlineStr">
        <is>
          <t>x</t>
        </is>
      </c>
      <c r="D61" s="56" t="n"/>
      <c r="E61" s="56" t="n"/>
      <c r="F61" s="56" t="n"/>
      <c r="G61" s="56" t="n"/>
      <c r="H61" s="56" t="inlineStr">
        <is>
          <t>x</t>
        </is>
      </c>
      <c r="I61" s="56" t="n"/>
      <c r="J61" s="56" t="n"/>
      <c r="K61" s="56" t="n"/>
      <c r="L61" s="56" t="inlineStr">
        <is>
          <t>x</t>
        </is>
      </c>
      <c r="M61" s="56" t="n"/>
      <c r="N61" s="56" t="n"/>
      <c r="O61" s="56" t="n"/>
      <c r="P61" s="56" t="n"/>
      <c r="Q61" s="56" t="n"/>
      <c r="R61" s="56" t="inlineStr">
        <is>
          <t>x</t>
        </is>
      </c>
      <c r="S61" s="56" t="n"/>
      <c r="T61" s="56" t="n"/>
      <c r="U61" s="56" t="inlineStr">
        <is>
          <t>x</t>
        </is>
      </c>
      <c r="V61" s="56" t="n"/>
      <c r="W61" s="56" t="n"/>
      <c r="X61" s="56" t="n"/>
      <c r="Y61" s="56" t="n"/>
      <c r="Z61" s="56" t="n"/>
      <c r="AA61" s="56" t="n"/>
      <c r="AB61" s="56" t="n"/>
      <c r="AC61" s="56" t="inlineStr">
        <is>
          <t>x</t>
        </is>
      </c>
      <c r="AD61" s="56" t="n"/>
      <c r="AE61" s="56" t="n"/>
      <c r="AF61" s="56" t="inlineStr">
        <is>
          <t>x</t>
        </is>
      </c>
      <c r="AG61" s="56" t="n"/>
      <c r="AH61" s="56" t="inlineStr">
        <is>
          <t>x</t>
        </is>
      </c>
      <c r="AI61" s="56" t="n"/>
      <c r="AJ61" s="56" t="n"/>
      <c r="AK61" s="56" t="inlineStr">
        <is>
          <t>x</t>
        </is>
      </c>
      <c r="AL61" s="56" t="inlineStr">
        <is>
          <t>x</t>
        </is>
      </c>
      <c r="AM61" s="56" t="n"/>
      <c r="AN61" s="56" t="inlineStr">
        <is>
          <t>x</t>
        </is>
      </c>
      <c r="AO61" s="56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  <c r="AZ61" s="62" t="n"/>
      <c r="BA61" s="62" t="n"/>
      <c r="BB61" s="62" t="n"/>
      <c r="BC61" s="62" t="n"/>
      <c r="BD61" s="62" t="n"/>
      <c r="BE61" s="62" t="n"/>
      <c r="BF61" s="62" t="n"/>
      <c r="BG61" s="62" t="n"/>
      <c r="BH61" s="62" t="n"/>
      <c r="BI61" s="62" t="n"/>
      <c r="BJ61" s="62" t="n"/>
      <c r="BK61" s="62" t="n"/>
      <c r="BL61" s="62" t="n"/>
      <c r="BM61" s="62" t="n"/>
      <c r="BN61" s="62" t="n"/>
      <c r="BO61" s="62" t="n"/>
      <c r="BP61" s="62" t="n"/>
      <c r="BQ61" s="62" t="n"/>
      <c r="BR61" s="62" t="n"/>
      <c r="BS61" s="62" t="n"/>
      <c r="BT61" s="62" t="n"/>
      <c r="BU61" s="62" t="n"/>
      <c r="BV61" s="62" t="n"/>
      <c r="BW61" s="62" t="n"/>
      <c r="BX61" s="62" t="n"/>
      <c r="BY61" s="62" t="n"/>
      <c r="BZ61" s="62" t="n"/>
      <c r="CA61" s="62" t="n"/>
      <c r="CB61" s="62" t="n"/>
      <c r="EU61" s="30" t="n"/>
      <c r="EV61" s="30" t="n"/>
      <c r="EW61" s="30" t="n"/>
    </row>
    <row r="62" ht="15" customHeight="1">
      <c r="A62" s="52" t="inlineStr">
        <is>
          <t>Cédula de extrangería</t>
        </is>
      </c>
      <c r="B62" s="56" t="n"/>
      <c r="C62" s="56" t="n"/>
      <c r="D62" s="56" t="inlineStr">
        <is>
          <t>x</t>
        </is>
      </c>
      <c r="E62" s="56" t="n"/>
      <c r="F62" s="56" t="n"/>
      <c r="G62" s="56" t="n"/>
      <c r="H62" s="56" t="n"/>
      <c r="I62" s="56" t="inlineStr">
        <is>
          <t>x</t>
        </is>
      </c>
      <c r="J62" s="56" t="n"/>
      <c r="K62" s="56" t="inlineStr">
        <is>
          <t>x</t>
        </is>
      </c>
      <c r="L62" s="56" t="n"/>
      <c r="M62" s="56" t="n"/>
      <c r="N62" s="56" t="n"/>
      <c r="O62" s="56" t="n"/>
      <c r="P62" s="56" t="n"/>
      <c r="Q62" s="56" t="n"/>
      <c r="R62" s="56" t="n"/>
      <c r="S62" s="56" t="inlineStr">
        <is>
          <t>x</t>
        </is>
      </c>
      <c r="T62" s="56" t="n"/>
      <c r="U62" s="56" t="n"/>
      <c r="V62" s="56" t="inlineStr">
        <is>
          <t>x</t>
        </is>
      </c>
      <c r="W62" s="56" t="n"/>
      <c r="X62" s="56" t="n"/>
      <c r="Y62" s="56" t="n"/>
      <c r="Z62" s="56" t="n"/>
      <c r="AA62" s="56" t="n"/>
      <c r="AB62" s="56" t="n"/>
      <c r="AC62" s="56" t="n"/>
      <c r="AD62" s="56" t="inlineStr">
        <is>
          <t>x</t>
        </is>
      </c>
      <c r="AE62" s="56" t="n"/>
      <c r="AF62" s="56" t="n"/>
      <c r="AG62" s="56" t="n"/>
      <c r="AH62" s="56" t="n"/>
      <c r="AI62" s="56" t="inlineStr">
        <is>
          <t>x</t>
        </is>
      </c>
      <c r="AJ62" s="56" t="n"/>
      <c r="AK62" s="56" t="n"/>
      <c r="AL62" s="56" t="n"/>
      <c r="AM62" s="56" t="n"/>
      <c r="AN62" s="56" t="n"/>
      <c r="AO62" s="56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  <c r="AZ62" s="62" t="n"/>
      <c r="BA62" s="62" t="n"/>
      <c r="BB62" s="62" t="n"/>
      <c r="BC62" s="62" t="n"/>
      <c r="BD62" s="62" t="n"/>
      <c r="BE62" s="62" t="n"/>
      <c r="BF62" s="62" t="n"/>
      <c r="BG62" s="62" t="n"/>
      <c r="BH62" s="62" t="n"/>
      <c r="BI62" s="62" t="n"/>
      <c r="BJ62" s="62" t="n"/>
      <c r="BK62" s="62" t="n"/>
      <c r="BL62" s="62" t="n"/>
      <c r="BM62" s="62" t="n"/>
      <c r="BN62" s="62" t="n"/>
      <c r="BO62" s="62" t="n"/>
      <c r="BP62" s="62" t="n"/>
      <c r="BQ62" s="62" t="n"/>
      <c r="BR62" s="62" t="n"/>
      <c r="BS62" s="62" t="n"/>
      <c r="BT62" s="62" t="n"/>
      <c r="BU62" s="62" t="n"/>
      <c r="BV62" s="62" t="n"/>
      <c r="BW62" s="62" t="n"/>
      <c r="BX62" s="62" t="n"/>
      <c r="BY62" s="62" t="n"/>
      <c r="BZ62" s="62" t="n"/>
      <c r="CA62" s="62" t="n"/>
      <c r="CB62" s="62" t="n"/>
      <c r="EU62" s="30" t="n"/>
      <c r="EV62" s="30" t="n"/>
      <c r="EW62" s="30" t="n"/>
    </row>
    <row r="63" ht="15" customHeight="1">
      <c r="A63" s="52" t="inlineStr">
        <is>
          <t>Permiso de protección temporal</t>
        </is>
      </c>
      <c r="B63" s="56" t="n"/>
      <c r="C63" s="56" t="n"/>
      <c r="D63" s="56" t="n"/>
      <c r="E63" s="56" t="inlineStr">
        <is>
          <t>x</t>
        </is>
      </c>
      <c r="F63" s="56" t="n"/>
      <c r="G63" s="56" t="inlineStr">
        <is>
          <t>x</t>
        </is>
      </c>
      <c r="H63" s="56" t="n"/>
      <c r="I63" s="56" t="n"/>
      <c r="J63" s="56" t="inlineStr">
        <is>
          <t>x</t>
        </is>
      </c>
      <c r="K63" s="56" t="n"/>
      <c r="L63" s="56" t="n"/>
      <c r="M63" s="56" t="n"/>
      <c r="N63" s="56" t="n"/>
      <c r="O63" s="56" t="n"/>
      <c r="P63" s="56" t="inlineStr">
        <is>
          <t>x</t>
        </is>
      </c>
      <c r="Q63" s="56" t="n"/>
      <c r="R63" s="56" t="n"/>
      <c r="S63" s="56" t="n"/>
      <c r="T63" s="56" t="inlineStr">
        <is>
          <t>x</t>
        </is>
      </c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inlineStr">
        <is>
          <t>x</t>
        </is>
      </c>
      <c r="AF63" s="56" t="n"/>
      <c r="AG63" s="56" t="inlineStr">
        <is>
          <t>x</t>
        </is>
      </c>
      <c r="AH63" s="56" t="n"/>
      <c r="AI63" s="56" t="n"/>
      <c r="AJ63" s="56" t="inlineStr">
        <is>
          <t>x</t>
        </is>
      </c>
      <c r="AK63" s="56" t="n"/>
      <c r="AL63" s="56" t="n"/>
      <c r="AM63" s="56" t="inlineStr">
        <is>
          <t>x</t>
        </is>
      </c>
      <c r="AN63" s="56" t="n"/>
      <c r="AO63" s="56" t="inlineStr">
        <is>
          <t>x</t>
        </is>
      </c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  <c r="AZ63" s="62" t="n"/>
      <c r="BA63" s="62" t="n"/>
      <c r="BB63" s="62" t="n"/>
      <c r="BC63" s="62" t="n"/>
      <c r="BD63" s="62" t="n"/>
      <c r="BE63" s="62" t="n"/>
      <c r="BF63" s="62" t="n"/>
      <c r="BG63" s="62" t="n"/>
      <c r="BH63" s="62" t="n"/>
      <c r="BI63" s="62" t="n"/>
      <c r="BJ63" s="62" t="n"/>
      <c r="BK63" s="62" t="n"/>
      <c r="BL63" s="62" t="n"/>
      <c r="BM63" s="62" t="n"/>
      <c r="BN63" s="62" t="n"/>
      <c r="BO63" s="62" t="n"/>
      <c r="BP63" s="62" t="n"/>
      <c r="BQ63" s="62" t="n"/>
      <c r="BR63" s="62" t="n"/>
      <c r="BS63" s="62" t="n"/>
      <c r="BT63" s="62" t="n"/>
      <c r="BU63" s="62" t="n"/>
      <c r="BV63" s="62" t="n"/>
      <c r="BW63" s="62" t="n"/>
      <c r="BX63" s="62" t="n"/>
      <c r="BY63" s="62" t="n"/>
      <c r="BZ63" s="62" t="n"/>
      <c r="CA63" s="62" t="n"/>
      <c r="CB63" s="62" t="n"/>
      <c r="EU63" s="30" t="n"/>
      <c r="EV63" s="30" t="n"/>
      <c r="EW63" s="30" t="n"/>
    </row>
    <row r="64" ht="15" customHeight="1">
      <c r="A64" s="47" t="inlineStr">
        <is>
          <t>Impresión timbre</t>
        </is>
      </c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  <c r="AZ64" s="62" t="n"/>
      <c r="BA64" s="62" t="n"/>
      <c r="BB64" s="62" t="n"/>
      <c r="BC64" s="62" t="n"/>
      <c r="BD64" s="62" t="n"/>
      <c r="BE64" s="62" t="n"/>
      <c r="BF64" s="62" t="n"/>
      <c r="BG64" s="62" t="n"/>
      <c r="BH64" s="62" t="n"/>
      <c r="BI64" s="62" t="n"/>
      <c r="BJ64" s="62" t="n"/>
      <c r="BK64" s="62" t="n"/>
      <c r="BL64" s="62" t="n"/>
      <c r="BM64" s="62" t="n"/>
      <c r="BN64" s="62" t="n"/>
      <c r="BO64" s="62" t="n"/>
      <c r="BP64" s="62" t="n"/>
      <c r="BQ64" s="62" t="n"/>
      <c r="BR64" s="62" t="n"/>
      <c r="BS64" s="62" t="n"/>
      <c r="BT64" s="62" t="n"/>
      <c r="BU64" s="62" t="n"/>
      <c r="BV64" s="62" t="n"/>
      <c r="BW64" s="62" t="n"/>
      <c r="BX64" s="62" t="n"/>
      <c r="BY64" s="62" t="n"/>
      <c r="BZ64" s="62" t="n"/>
      <c r="CA64" s="62" t="n"/>
      <c r="CB64" s="62" t="n"/>
      <c r="EU64" s="30" t="n"/>
      <c r="EV64" s="30" t="n"/>
      <c r="EW64" s="30" t="n"/>
    </row>
    <row r="65" ht="15" customHeight="1">
      <c r="A65" s="52" t="inlineStr">
        <is>
          <t>Si</t>
        </is>
      </c>
      <c r="B65" s="56" t="inlineStr">
        <is>
          <t>x</t>
        </is>
      </c>
      <c r="C65" s="56" t="n"/>
      <c r="D65" s="56" t="inlineStr">
        <is>
          <t>x</t>
        </is>
      </c>
      <c r="E65" s="56" t="n"/>
      <c r="F65" s="56" t="inlineStr">
        <is>
          <t>x</t>
        </is>
      </c>
      <c r="G65" s="56" t="inlineStr">
        <is>
          <t>x</t>
        </is>
      </c>
      <c r="H65" s="56" t="n"/>
      <c r="I65" s="56" t="inlineStr">
        <is>
          <t>x</t>
        </is>
      </c>
      <c r="J65" s="62" t="n"/>
      <c r="K65" s="62" t="n"/>
      <c r="L65" s="62" t="n"/>
      <c r="M65" s="62" t="n"/>
      <c r="N65" s="62" t="n"/>
      <c r="O65" s="62" t="n"/>
      <c r="P65" s="62" t="n"/>
      <c r="Q65" s="62" t="n"/>
      <c r="R65" s="56" t="inlineStr">
        <is>
          <t>x</t>
        </is>
      </c>
      <c r="S65" s="56" t="n"/>
      <c r="T65" s="56" t="inlineStr">
        <is>
          <t>x</t>
        </is>
      </c>
      <c r="U65" s="56" t="n"/>
      <c r="V65" s="56" t="inlineStr">
        <is>
          <t>x</t>
        </is>
      </c>
      <c r="W65" s="56" t="n"/>
      <c r="X65" s="56" t="n"/>
      <c r="Y65" s="56" t="n"/>
      <c r="Z65" s="56" t="n"/>
      <c r="AA65" s="56" t="n"/>
      <c r="AB65" s="56" t="n"/>
      <c r="AC65" s="56" t="inlineStr">
        <is>
          <t>x</t>
        </is>
      </c>
      <c r="AD65" s="56" t="n"/>
      <c r="AE65" s="56" t="inlineStr">
        <is>
          <t>x</t>
        </is>
      </c>
      <c r="AF65" s="56" t="n"/>
      <c r="AG65" s="56" t="n"/>
      <c r="AH65" s="56" t="inlineStr">
        <is>
          <t>x</t>
        </is>
      </c>
      <c r="AI65" s="56" t="n"/>
      <c r="AJ65" s="56" t="inlineStr">
        <is>
          <t>x</t>
        </is>
      </c>
      <c r="AK65" s="56" t="n"/>
      <c r="AL65" s="56" t="inlineStr">
        <is>
          <t>x</t>
        </is>
      </c>
      <c r="AM65" s="56" t="inlineStr">
        <is>
          <t>x</t>
        </is>
      </c>
      <c r="AN65" s="56" t="n"/>
      <c r="AO65" s="56" t="inlineStr">
        <is>
          <t>x</t>
        </is>
      </c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  <c r="AZ65" s="62" t="n"/>
      <c r="BA65" s="62" t="n"/>
      <c r="BB65" s="62" t="n"/>
      <c r="BC65" s="62" t="n"/>
      <c r="BD65" s="62" t="n"/>
      <c r="BE65" s="62" t="n"/>
      <c r="BF65" s="62" t="n"/>
      <c r="BG65" s="62" t="n"/>
      <c r="BH65" s="62" t="n"/>
      <c r="BI65" s="62" t="n"/>
      <c r="BJ65" s="62" t="n"/>
      <c r="BK65" s="62" t="n"/>
      <c r="BL65" s="62" t="n"/>
      <c r="BM65" s="62" t="n"/>
      <c r="BN65" s="62" t="n"/>
      <c r="BO65" s="62" t="n"/>
      <c r="BP65" s="62" t="n"/>
      <c r="BQ65" s="62" t="n"/>
      <c r="BR65" s="62" t="n"/>
      <c r="BS65" s="62" t="n"/>
      <c r="BT65" s="62" t="n"/>
      <c r="BU65" s="62" t="n"/>
      <c r="BV65" s="62" t="n"/>
      <c r="BW65" s="62" t="n"/>
      <c r="BX65" s="62" t="n"/>
      <c r="BY65" s="62" t="n"/>
      <c r="BZ65" s="62" t="n"/>
      <c r="CA65" s="62" t="n"/>
      <c r="CB65" s="62" t="n"/>
      <c r="EU65" s="30" t="n"/>
      <c r="EV65" s="30" t="n"/>
      <c r="EW65" s="30" t="n"/>
    </row>
    <row r="66" ht="15" customHeight="1">
      <c r="A66" s="52" t="inlineStr">
        <is>
          <t>No</t>
        </is>
      </c>
      <c r="B66" s="56" t="n"/>
      <c r="C66" s="56" t="inlineStr">
        <is>
          <t>x</t>
        </is>
      </c>
      <c r="D66" s="56" t="n"/>
      <c r="E66" s="56" t="inlineStr">
        <is>
          <t>x</t>
        </is>
      </c>
      <c r="F66" s="56" t="n"/>
      <c r="G66" s="56" t="n"/>
      <c r="H66" s="56" t="inlineStr">
        <is>
          <t>x</t>
        </is>
      </c>
      <c r="I66" s="56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56" t="n"/>
      <c r="S66" s="56" t="inlineStr">
        <is>
          <t>x</t>
        </is>
      </c>
      <c r="T66" s="56" t="n"/>
      <c r="U66" s="56" t="inlineStr">
        <is>
          <t>x</t>
        </is>
      </c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inlineStr">
        <is>
          <t>x</t>
        </is>
      </c>
      <c r="AE66" s="56" t="n"/>
      <c r="AF66" s="56" t="inlineStr">
        <is>
          <t>x</t>
        </is>
      </c>
      <c r="AG66" s="56" t="inlineStr">
        <is>
          <t>x</t>
        </is>
      </c>
      <c r="AH66" s="56" t="n"/>
      <c r="AI66" s="56" t="inlineStr">
        <is>
          <t>x</t>
        </is>
      </c>
      <c r="AJ66" s="56" t="n"/>
      <c r="AK66" s="56" t="inlineStr">
        <is>
          <t>x</t>
        </is>
      </c>
      <c r="AL66" s="56" t="n"/>
      <c r="AM66" s="56" t="n"/>
      <c r="AN66" s="56" t="inlineStr">
        <is>
          <t>x</t>
        </is>
      </c>
      <c r="AO66" s="56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  <c r="AZ66" s="62" t="n"/>
      <c r="BA66" s="62" t="n"/>
      <c r="BB66" s="62" t="n"/>
      <c r="BC66" s="62" t="n"/>
      <c r="BD66" s="62" t="n"/>
      <c r="BE66" s="62" t="n"/>
      <c r="BF66" s="62" t="n"/>
      <c r="BG66" s="62" t="n"/>
      <c r="BH66" s="62" t="n"/>
      <c r="BI66" s="62" t="n"/>
      <c r="BJ66" s="62" t="n"/>
      <c r="BK66" s="62" t="n"/>
      <c r="BL66" s="62" t="n"/>
      <c r="BM66" s="62" t="n"/>
      <c r="BN66" s="62" t="n"/>
      <c r="BO66" s="62" t="n"/>
      <c r="BP66" s="62" t="n"/>
      <c r="BQ66" s="62" t="n"/>
      <c r="BR66" s="62" t="n"/>
      <c r="BS66" s="62" t="n"/>
      <c r="BT66" s="62" t="n"/>
      <c r="BU66" s="62" t="n"/>
      <c r="BV66" s="62" t="n"/>
      <c r="BW66" s="62" t="n"/>
      <c r="BX66" s="62" t="n"/>
      <c r="BY66" s="62" t="n"/>
      <c r="BZ66" s="62" t="n"/>
      <c r="CA66" s="62" t="n"/>
      <c r="CB66" s="62" t="n"/>
      <c r="EU66" s="30" t="n"/>
      <c r="EV66" s="30" t="n"/>
      <c r="EW66" s="30" t="n"/>
    </row>
    <row r="67" ht="15" customHeight="1">
      <c r="A67" s="47" t="inlineStr">
        <is>
          <t>Datos persona beneficiaria</t>
        </is>
      </c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  <c r="AZ67" s="62" t="n"/>
      <c r="BA67" s="62" t="n"/>
      <c r="BB67" s="62" t="n"/>
      <c r="BC67" s="62" t="n"/>
      <c r="BD67" s="62" t="n"/>
      <c r="BE67" s="62" t="n"/>
      <c r="BF67" s="62" t="n"/>
      <c r="BG67" s="62" t="n"/>
      <c r="BH67" s="62" t="n"/>
      <c r="BI67" s="62" t="n"/>
      <c r="BJ67" s="62" t="n"/>
      <c r="BK67" s="62" t="n"/>
      <c r="BL67" s="62" t="n"/>
      <c r="BM67" s="62" t="n"/>
      <c r="BN67" s="62" t="n"/>
      <c r="BO67" s="62" t="n"/>
      <c r="BP67" s="62" t="n"/>
      <c r="BQ67" s="62" t="n"/>
      <c r="BR67" s="62" t="n"/>
      <c r="BS67" s="62" t="n"/>
      <c r="BT67" s="62" t="n"/>
      <c r="BU67" s="62" t="n"/>
      <c r="BV67" s="62" t="n"/>
      <c r="BW67" s="62" t="n"/>
      <c r="BX67" s="62" t="n"/>
      <c r="BY67" s="62" t="n"/>
      <c r="BZ67" s="62" t="n"/>
      <c r="CA67" s="62" t="n"/>
      <c r="CB67" s="62" t="n"/>
      <c r="EU67" s="30" t="n"/>
      <c r="EV67" s="30" t="n"/>
      <c r="EW67" s="30" t="n"/>
    </row>
    <row r="68" ht="15" customHeight="1">
      <c r="A68" s="47" t="inlineStr">
        <is>
          <t>Primer nombre</t>
        </is>
      </c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  <c r="AZ68" s="62" t="n"/>
      <c r="BA68" s="62" t="n"/>
      <c r="BB68" s="62" t="n"/>
      <c r="BC68" s="62" t="n"/>
      <c r="BD68" s="62" t="n"/>
      <c r="BE68" s="62" t="n"/>
      <c r="BF68" s="62" t="n"/>
      <c r="BG68" s="62" t="n"/>
      <c r="BH68" s="62" t="n"/>
      <c r="BI68" s="62" t="n"/>
      <c r="BJ68" s="62" t="n"/>
      <c r="BK68" s="62" t="n"/>
      <c r="BL68" s="62" t="n"/>
      <c r="BM68" s="62" t="n"/>
      <c r="BN68" s="62" t="n"/>
      <c r="BO68" s="62" t="n"/>
      <c r="BP68" s="62" t="n"/>
      <c r="BQ68" s="62" t="n"/>
      <c r="BR68" s="62" t="n"/>
      <c r="BS68" s="62" t="n"/>
      <c r="BT68" s="62" t="n"/>
      <c r="BU68" s="62" t="n"/>
      <c r="BV68" s="62" t="n"/>
      <c r="BW68" s="62" t="n"/>
      <c r="BX68" s="62" t="n"/>
      <c r="BY68" s="62" t="n"/>
      <c r="BZ68" s="62" t="n"/>
      <c r="CA68" s="62" t="n"/>
      <c r="CB68" s="62" t="n"/>
      <c r="EU68" s="30" t="n"/>
      <c r="EV68" s="30" t="n"/>
      <c r="EW68" s="30" t="n"/>
    </row>
    <row r="69" ht="15" customHeight="1">
      <c r="A69" s="52" t="inlineStr">
        <is>
          <t>Válido</t>
        </is>
      </c>
      <c r="B69" s="62" t="n"/>
      <c r="C69" s="56" t="inlineStr">
        <is>
          <t>x</t>
        </is>
      </c>
      <c r="D69" s="56" t="inlineStr">
        <is>
          <t>x</t>
        </is>
      </c>
      <c r="E69" s="56" t="inlineStr">
        <is>
          <t>x</t>
        </is>
      </c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  <c r="AZ69" s="62" t="n"/>
      <c r="BA69" s="62" t="n"/>
      <c r="BB69" s="62" t="n"/>
      <c r="BC69" s="62" t="n"/>
      <c r="BD69" s="62" t="n"/>
      <c r="BE69" s="62" t="n"/>
      <c r="BF69" s="62" t="n"/>
      <c r="BG69" s="62" t="n"/>
      <c r="BH69" s="62" t="n"/>
      <c r="BI69" s="62" t="n"/>
      <c r="BJ69" s="62" t="n"/>
      <c r="BK69" s="62" t="n"/>
      <c r="BL69" s="62" t="n"/>
      <c r="BM69" s="62" t="n"/>
      <c r="BN69" s="62" t="n"/>
      <c r="BO69" s="62" t="n"/>
      <c r="BP69" s="62" t="n"/>
      <c r="BQ69" s="62" t="n"/>
      <c r="BR69" s="62" t="n"/>
      <c r="BS69" s="62" t="n"/>
      <c r="BT69" s="62" t="n"/>
      <c r="BU69" s="62" t="n"/>
      <c r="BV69" s="62" t="n"/>
      <c r="BW69" s="62" t="n"/>
      <c r="BX69" s="62" t="n"/>
      <c r="BY69" s="62" t="n"/>
      <c r="BZ69" s="62" t="n"/>
      <c r="CA69" s="62" t="n"/>
      <c r="CB69" s="62" t="n"/>
      <c r="EU69" s="30" t="n"/>
      <c r="EV69" s="30" t="n"/>
      <c r="EW69" s="30" t="n"/>
    </row>
    <row r="70" ht="15" customHeight="1">
      <c r="A70" s="52" t="inlineStr">
        <is>
          <t>Nulo o vacío</t>
        </is>
      </c>
      <c r="B70" s="62" t="n"/>
      <c r="C70" s="56" t="n"/>
      <c r="D70" s="56" t="n"/>
      <c r="E70" s="56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  <c r="CA70" s="62" t="n"/>
      <c r="CB70" s="62" t="n"/>
      <c r="EU70" s="30" t="n"/>
      <c r="EV70" s="30" t="n"/>
      <c r="EW70" s="30" t="n"/>
    </row>
    <row r="71" ht="15" customHeight="1">
      <c r="A71" s="47" t="inlineStr">
        <is>
          <t>Segundo nombre</t>
        </is>
      </c>
      <c r="B71" s="62" t="n"/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  <c r="AZ71" s="62" t="n"/>
      <c r="BA71" s="62" t="n"/>
      <c r="BB71" s="62" t="n"/>
      <c r="BC71" s="62" t="n"/>
      <c r="BD71" s="62" t="n"/>
      <c r="BE71" s="62" t="n"/>
      <c r="BF71" s="62" t="n"/>
      <c r="BG71" s="62" t="n"/>
      <c r="BH71" s="62" t="n"/>
      <c r="BI71" s="62" t="n"/>
      <c r="BJ71" s="62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  <c r="CA71" s="62" t="n"/>
      <c r="CB71" s="62" t="n"/>
      <c r="EU71" s="30" t="n"/>
      <c r="EV71" s="30" t="n"/>
      <c r="EW71" s="30" t="n"/>
    </row>
    <row r="72" ht="15" customHeight="1">
      <c r="A72" s="52" t="inlineStr">
        <is>
          <t>Válido</t>
        </is>
      </c>
      <c r="B72" s="62" t="n"/>
      <c r="C72" s="56" t="inlineStr">
        <is>
          <t>x</t>
        </is>
      </c>
      <c r="D72" s="56" t="n"/>
      <c r="E72" s="56" t="inlineStr">
        <is>
          <t>x</t>
        </is>
      </c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  <c r="AZ72" s="62" t="n"/>
      <c r="BA72" s="62" t="n"/>
      <c r="BB72" s="62" t="n"/>
      <c r="BC72" s="62" t="n"/>
      <c r="BD72" s="62" t="n"/>
      <c r="BE72" s="62" t="n"/>
      <c r="BF72" s="62" t="n"/>
      <c r="BG72" s="62" t="n"/>
      <c r="BH72" s="62" t="n"/>
      <c r="BI72" s="62" t="n"/>
      <c r="BJ72" s="62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  <c r="CA72" s="62" t="n"/>
      <c r="CB72" s="62" t="n"/>
      <c r="EU72" s="30" t="n"/>
      <c r="EV72" s="30" t="n"/>
      <c r="EW72" s="30" t="n"/>
    </row>
    <row r="73" ht="15" customHeight="1">
      <c r="A73" s="52" t="inlineStr">
        <is>
          <t>Nulo o vacío</t>
        </is>
      </c>
      <c r="B73" s="62" t="n"/>
      <c r="C73" s="56" t="n"/>
      <c r="D73" s="56" t="inlineStr">
        <is>
          <t>x</t>
        </is>
      </c>
      <c r="E73" s="56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  <c r="AZ73" s="62" t="n"/>
      <c r="BA73" s="62" t="n"/>
      <c r="BB73" s="62" t="n"/>
      <c r="BC73" s="62" t="n"/>
      <c r="BD73" s="62" t="n"/>
      <c r="BE73" s="62" t="n"/>
      <c r="BF73" s="62" t="n"/>
      <c r="BG73" s="62" t="n"/>
      <c r="BH73" s="62" t="n"/>
      <c r="BI73" s="62" t="n"/>
      <c r="BJ73" s="62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  <c r="CA73" s="62" t="n"/>
      <c r="CB73" s="62" t="n"/>
      <c r="EU73" s="30" t="n"/>
      <c r="EV73" s="30" t="n"/>
      <c r="EW73" s="30" t="n"/>
    </row>
    <row r="74" ht="15" customHeight="1">
      <c r="A74" s="47" t="inlineStr">
        <is>
          <t>Primer apeliido</t>
        </is>
      </c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  <c r="AZ74" s="62" t="n"/>
      <c r="BA74" s="62" t="n"/>
      <c r="BB74" s="62" t="n"/>
      <c r="BC74" s="62" t="n"/>
      <c r="BD74" s="62" t="n"/>
      <c r="BE74" s="62" t="n"/>
      <c r="BF74" s="62" t="n"/>
      <c r="BG74" s="62" t="n"/>
      <c r="BH74" s="62" t="n"/>
      <c r="BI74" s="62" t="n"/>
      <c r="BJ74" s="62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  <c r="CA74" s="62" t="n"/>
      <c r="CB74" s="62" t="n"/>
      <c r="EU74" s="30" t="n"/>
      <c r="EV74" s="30" t="n"/>
      <c r="EW74" s="30" t="n"/>
    </row>
    <row r="75" ht="15" customHeight="1">
      <c r="A75" s="52" t="inlineStr">
        <is>
          <t>Válido</t>
        </is>
      </c>
      <c r="B75" s="62" t="n"/>
      <c r="C75" s="56" t="inlineStr">
        <is>
          <t>x</t>
        </is>
      </c>
      <c r="D75" s="56" t="inlineStr">
        <is>
          <t>x</t>
        </is>
      </c>
      <c r="E75" s="56" t="inlineStr">
        <is>
          <t>x</t>
        </is>
      </c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  <c r="AZ75" s="62" t="n"/>
      <c r="BA75" s="62" t="n"/>
      <c r="BB75" s="62" t="n"/>
      <c r="BC75" s="62" t="n"/>
      <c r="BD75" s="62" t="n"/>
      <c r="BE75" s="62" t="n"/>
      <c r="BF75" s="62" t="n"/>
      <c r="BG75" s="62" t="n"/>
      <c r="BH75" s="62" t="n"/>
      <c r="BI75" s="62" t="n"/>
      <c r="BJ75" s="62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  <c r="CA75" s="62" t="n"/>
      <c r="CB75" s="62" t="n"/>
      <c r="EU75" s="30" t="n"/>
      <c r="EV75" s="30" t="n"/>
      <c r="EW75" s="30" t="n"/>
    </row>
    <row r="76" ht="15" customHeight="1">
      <c r="A76" s="52" t="inlineStr">
        <is>
          <t>Nulo o vacío</t>
        </is>
      </c>
      <c r="B76" s="62" t="n"/>
      <c r="C76" s="56" t="n"/>
      <c r="D76" s="56" t="n"/>
      <c r="E76" s="56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  <c r="AZ76" s="62" t="n"/>
      <c r="BA76" s="62" t="n"/>
      <c r="BB76" s="62" t="n"/>
      <c r="BC76" s="62" t="n"/>
      <c r="BD76" s="62" t="n"/>
      <c r="BE76" s="62" t="n"/>
      <c r="BF76" s="62" t="n"/>
      <c r="BG76" s="62" t="n"/>
      <c r="BH76" s="62" t="n"/>
      <c r="BI76" s="62" t="n"/>
      <c r="BJ76" s="62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  <c r="CA76" s="62" t="n"/>
      <c r="CB76" s="62" t="n"/>
      <c r="EU76" s="30" t="n"/>
      <c r="EV76" s="30" t="n"/>
      <c r="EW76" s="30" t="n"/>
    </row>
    <row r="77" ht="15" customHeight="1">
      <c r="A77" s="47" t="inlineStr">
        <is>
          <t>Segundo apeliido</t>
        </is>
      </c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  <c r="AZ77" s="62" t="n"/>
      <c r="BA77" s="62" t="n"/>
      <c r="BB77" s="62" t="n"/>
      <c r="BC77" s="62" t="n"/>
      <c r="BD77" s="62" t="n"/>
      <c r="BE77" s="62" t="n"/>
      <c r="BF77" s="62" t="n"/>
      <c r="BG77" s="62" t="n"/>
      <c r="BH77" s="62" t="n"/>
      <c r="BI77" s="62" t="n"/>
      <c r="BJ77" s="62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  <c r="CA77" s="62" t="n"/>
      <c r="CB77" s="62" t="n"/>
      <c r="EU77" s="30" t="n"/>
      <c r="EV77" s="30" t="n"/>
      <c r="EW77" s="30" t="n"/>
    </row>
    <row r="78" ht="15" customHeight="1">
      <c r="A78" s="52" t="inlineStr">
        <is>
          <t>Válido</t>
        </is>
      </c>
      <c r="B78" s="62" t="n"/>
      <c r="C78" s="56" t="inlineStr">
        <is>
          <t>x</t>
        </is>
      </c>
      <c r="D78" s="56" t="n"/>
      <c r="E78" s="56" t="inlineStr">
        <is>
          <t>x</t>
        </is>
      </c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  <c r="AZ78" s="62" t="n"/>
      <c r="BA78" s="62" t="n"/>
      <c r="BB78" s="62" t="n"/>
      <c r="BC78" s="62" t="n"/>
      <c r="BD78" s="62" t="n"/>
      <c r="BE78" s="62" t="n"/>
      <c r="BF78" s="62" t="n"/>
      <c r="BG78" s="62" t="n"/>
      <c r="BH78" s="62" t="n"/>
      <c r="BI78" s="62" t="n"/>
      <c r="BJ78" s="62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  <c r="CA78" s="62" t="n"/>
      <c r="CB78" s="62" t="n"/>
      <c r="EU78" s="30" t="n"/>
      <c r="EV78" s="30" t="n"/>
      <c r="EW78" s="30" t="n"/>
    </row>
    <row r="79" ht="15" customHeight="1">
      <c r="A79" s="52" t="inlineStr">
        <is>
          <t>Nulo o vacío</t>
        </is>
      </c>
      <c r="B79" s="62" t="n"/>
      <c r="C79" s="56" t="n"/>
      <c r="D79" s="56" t="inlineStr">
        <is>
          <t>x</t>
        </is>
      </c>
      <c r="E79" s="56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  <c r="AZ79" s="62" t="n"/>
      <c r="BA79" s="62" t="n"/>
      <c r="BB79" s="62" t="n"/>
      <c r="BC79" s="62" t="n"/>
      <c r="BD79" s="62" t="n"/>
      <c r="BE79" s="62" t="n"/>
      <c r="BF79" s="62" t="n"/>
      <c r="BG79" s="62" t="n"/>
      <c r="BH79" s="62" t="n"/>
      <c r="BI79" s="62" t="n"/>
      <c r="BJ79" s="62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  <c r="CA79" s="62" t="n"/>
      <c r="CB79" s="62" t="n"/>
      <c r="EU79" s="30" t="n"/>
      <c r="EV79" s="30" t="n"/>
      <c r="EW79" s="30" t="n"/>
    </row>
    <row r="80" ht="15" customHeight="1">
      <c r="A80" s="47" t="inlineStr">
        <is>
          <t>Cheque</t>
        </is>
      </c>
      <c r="B80" s="62" t="n"/>
      <c r="C80" s="62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  <c r="AZ80" s="62" t="n"/>
      <c r="BA80" s="62" t="n"/>
      <c r="BB80" s="62" t="n"/>
      <c r="BC80" s="62" t="n"/>
      <c r="BD80" s="62" t="n"/>
      <c r="BE80" s="62" t="n"/>
      <c r="BF80" s="62" t="n"/>
      <c r="BG80" s="62" t="n"/>
      <c r="BH80" s="62" t="n"/>
      <c r="BI80" s="62" t="n"/>
      <c r="BJ80" s="62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  <c r="CA80" s="62" t="n"/>
      <c r="CB80" s="62" t="n"/>
      <c r="EU80" s="30" t="n"/>
      <c r="EV80" s="30" t="n"/>
      <c r="EW80" s="30" t="n"/>
    </row>
    <row r="81" ht="15" customHeight="1">
      <c r="A81" s="47" t="inlineStr">
        <is>
          <t>Cuenta</t>
        </is>
      </c>
      <c r="B81" s="62" t="n"/>
      <c r="C81" s="62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  <c r="AZ81" s="62" t="n"/>
      <c r="BA81" s="62" t="n"/>
      <c r="BB81" s="62" t="n"/>
      <c r="BC81" s="62" t="n"/>
      <c r="BD81" s="62" t="n"/>
      <c r="BE81" s="62" t="n"/>
      <c r="BF81" s="62" t="n"/>
      <c r="BG81" s="62" t="n"/>
      <c r="BH81" s="62" t="n"/>
      <c r="BI81" s="62" t="n"/>
      <c r="BJ81" s="62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  <c r="CA81" s="62" t="n"/>
      <c r="CB81" s="62" t="n"/>
      <c r="EU81" s="30" t="n"/>
      <c r="EV81" s="30" t="n"/>
      <c r="EW81" s="30" t="n"/>
    </row>
    <row r="82" ht="15" customHeight="1">
      <c r="A82" s="52" t="inlineStr">
        <is>
          <t>Válida</t>
        </is>
      </c>
      <c r="B82" s="62" t="n"/>
      <c r="C82" s="56" t="inlineStr">
        <is>
          <t>x</t>
        </is>
      </c>
      <c r="D82" s="56" t="inlineStr">
        <is>
          <t>x</t>
        </is>
      </c>
      <c r="E82" s="56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  <c r="AZ82" s="62" t="n"/>
      <c r="BA82" s="62" t="n"/>
      <c r="BB82" s="62" t="n"/>
      <c r="BC82" s="62" t="n"/>
      <c r="BD82" s="62" t="n"/>
      <c r="BE82" s="62" t="n"/>
      <c r="BF82" s="62" t="n"/>
      <c r="BG82" s="62" t="n"/>
      <c r="BH82" s="62" t="n"/>
      <c r="BI82" s="62" t="n"/>
      <c r="BJ82" s="62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  <c r="CA82" s="62" t="n"/>
      <c r="CB82" s="62" t="n"/>
      <c r="EU82" s="30" t="n"/>
      <c r="EV82" s="30" t="n"/>
      <c r="EW82" s="30" t="n"/>
    </row>
    <row r="83" ht="15" customHeight="1">
      <c r="A83" s="61" t="inlineStr">
        <is>
          <t>Vacía, sin seleccionar</t>
        </is>
      </c>
      <c r="B83" s="62" t="n"/>
      <c r="C83" s="56" t="n"/>
      <c r="D83" s="56" t="n"/>
      <c r="E83" s="56" t="inlineStr">
        <is>
          <t>x</t>
        </is>
      </c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  <c r="AZ83" s="62" t="n"/>
      <c r="BA83" s="62" t="n"/>
      <c r="BB83" s="62" t="n"/>
      <c r="BC83" s="62" t="n"/>
      <c r="BD83" s="62" t="n"/>
      <c r="BE83" s="62" t="n"/>
      <c r="BF83" s="62" t="n"/>
      <c r="BG83" s="62" t="n"/>
      <c r="BH83" s="62" t="n"/>
      <c r="BI83" s="62" t="n"/>
      <c r="BJ83" s="62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  <c r="CA83" s="62" t="n"/>
      <c r="CB83" s="62" t="n"/>
      <c r="EU83" s="30" t="n"/>
      <c r="EV83" s="30" t="n"/>
      <c r="EW83" s="30" t="n"/>
    </row>
    <row r="84" ht="15" customHeight="1">
      <c r="A84" s="47" t="inlineStr">
        <is>
          <t>Suboeración</t>
        </is>
      </c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  <c r="AZ84" s="62" t="n"/>
      <c r="BA84" s="62" t="n"/>
      <c r="BB84" s="62" t="n"/>
      <c r="BC84" s="62" t="n"/>
      <c r="BD84" s="62" t="n"/>
      <c r="BE84" s="62" t="n"/>
      <c r="BF84" s="62" t="n"/>
      <c r="BG84" s="62" t="n"/>
      <c r="BH84" s="62" t="n"/>
      <c r="BI84" s="62" t="n"/>
      <c r="BJ84" s="62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  <c r="CA84" s="62" t="n"/>
      <c r="CB84" s="62" t="n"/>
      <c r="EU84" s="30" t="n"/>
      <c r="EV84" s="30" t="n"/>
      <c r="EW84" s="30" t="n"/>
    </row>
    <row r="85" ht="15" customHeight="1">
      <c r="A85" s="52" t="inlineStr">
        <is>
          <t>Válida</t>
        </is>
      </c>
      <c r="B85" s="62" t="n"/>
      <c r="C85" s="56" t="inlineStr">
        <is>
          <t>x</t>
        </is>
      </c>
      <c r="D85" s="56" t="inlineStr">
        <is>
          <t>x</t>
        </is>
      </c>
      <c r="E85" s="56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  <c r="AZ85" s="62" t="n"/>
      <c r="BA85" s="62" t="n"/>
      <c r="BB85" s="62" t="n"/>
      <c r="BC85" s="62" t="n"/>
      <c r="BD85" s="62" t="n"/>
      <c r="BE85" s="62" t="n"/>
      <c r="BF85" s="62" t="n"/>
      <c r="BG85" s="62" t="n"/>
      <c r="BH85" s="62" t="n"/>
      <c r="BI85" s="62" t="n"/>
      <c r="BJ85" s="62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  <c r="CA85" s="62" t="n"/>
      <c r="CB85" s="62" t="n"/>
      <c r="EU85" s="30" t="n"/>
      <c r="EV85" s="30" t="n"/>
      <c r="EW85" s="30" t="n"/>
    </row>
    <row r="86" ht="15" customHeight="1">
      <c r="A86" s="61" t="inlineStr">
        <is>
          <t>Vacía, sin seleccionar</t>
        </is>
      </c>
      <c r="B86" s="62" t="n"/>
      <c r="C86" s="56" t="n"/>
      <c r="D86" s="56" t="n"/>
      <c r="E86" s="56" t="inlineStr">
        <is>
          <t>x</t>
        </is>
      </c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  <c r="AZ86" s="62" t="n"/>
      <c r="BA86" s="62" t="n"/>
      <c r="BB86" s="62" t="n"/>
      <c r="BC86" s="62" t="n"/>
      <c r="BD86" s="62" t="n"/>
      <c r="BE86" s="62" t="n"/>
      <c r="BF86" s="62" t="n"/>
      <c r="BG86" s="62" t="n"/>
      <c r="BH86" s="62" t="n"/>
      <c r="BI86" s="62" t="n"/>
      <c r="BJ86" s="62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  <c r="CA86" s="62" t="n"/>
      <c r="CB86" s="62" t="n"/>
      <c r="EU86" s="30" t="n"/>
      <c r="EV86" s="30" t="n"/>
      <c r="EW86" s="30" t="n"/>
    </row>
    <row r="87" ht="15" customHeight="1">
      <c r="A87" s="47" t="inlineStr">
        <is>
          <t>Sucursal</t>
        </is>
      </c>
      <c r="B87" s="62" t="n"/>
      <c r="C87" s="62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  <c r="AZ87" s="62" t="n"/>
      <c r="BA87" s="62" t="n"/>
      <c r="BB87" s="62" t="n"/>
      <c r="BC87" s="62" t="n"/>
      <c r="BD87" s="62" t="n"/>
      <c r="BE87" s="62" t="n"/>
      <c r="BF87" s="62" t="n"/>
      <c r="BG87" s="62" t="n"/>
      <c r="BH87" s="62" t="n"/>
      <c r="BI87" s="62" t="n"/>
      <c r="BJ87" s="62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  <c r="CA87" s="62" t="n"/>
      <c r="CB87" s="62" t="n"/>
      <c r="EU87" s="30" t="n"/>
      <c r="EV87" s="30" t="n"/>
      <c r="EW87" s="30" t="n"/>
    </row>
    <row r="88" ht="15" customHeight="1">
      <c r="A88" s="52" t="inlineStr">
        <is>
          <t>Válida</t>
        </is>
      </c>
      <c r="B88" s="62" t="n"/>
      <c r="C88" s="56" t="inlineStr">
        <is>
          <t>x</t>
        </is>
      </c>
      <c r="D88" s="56" t="inlineStr">
        <is>
          <t>x</t>
        </is>
      </c>
      <c r="E88" s="56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  <c r="AZ88" s="62" t="n"/>
      <c r="BA88" s="62" t="n"/>
      <c r="BB88" s="62" t="n"/>
      <c r="BC88" s="62" t="n"/>
      <c r="BD88" s="62" t="n"/>
      <c r="BE88" s="62" t="n"/>
      <c r="BF88" s="62" t="n"/>
      <c r="BG88" s="62" t="n"/>
      <c r="BH88" s="62" t="n"/>
      <c r="BI88" s="62" t="n"/>
      <c r="BJ88" s="62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  <c r="CA88" s="62" t="n"/>
      <c r="CB88" s="62" t="n"/>
      <c r="EU88" s="30" t="n"/>
      <c r="EV88" s="30" t="n"/>
      <c r="EW88" s="30" t="n"/>
    </row>
    <row r="89" ht="15" customHeight="1">
      <c r="A89" s="61" t="inlineStr">
        <is>
          <t>Vacía, sin seleccionar</t>
        </is>
      </c>
      <c r="B89" s="62" t="n"/>
      <c r="C89" s="56" t="n"/>
      <c r="D89" s="56" t="n"/>
      <c r="E89" s="56" t="inlineStr">
        <is>
          <t>x</t>
        </is>
      </c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  <c r="AZ89" s="62" t="n"/>
      <c r="BA89" s="62" t="n"/>
      <c r="BB89" s="62" t="n"/>
      <c r="BC89" s="62" t="n"/>
      <c r="BD89" s="62" t="n"/>
      <c r="BE89" s="62" t="n"/>
      <c r="BF89" s="62" t="n"/>
      <c r="BG89" s="62" t="n"/>
      <c r="BH89" s="62" t="n"/>
      <c r="BI89" s="62" t="n"/>
      <c r="BJ89" s="62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  <c r="CA89" s="62" t="n"/>
      <c r="CB89" s="62" t="n"/>
      <c r="EU89" s="30" t="n"/>
      <c r="EV89" s="30" t="n"/>
      <c r="EW89" s="30" t="n"/>
    </row>
    <row r="90" ht="15" customHeight="1">
      <c r="A90" s="47" t="inlineStr">
        <is>
          <t>Número de cheque</t>
        </is>
      </c>
      <c r="C90" s="62" t="n"/>
    </row>
    <row r="91" ht="15" customHeight="1">
      <c r="A91" s="52" t="inlineStr">
        <is>
          <t>Válido</t>
        </is>
      </c>
      <c r="B91" s="62" t="n"/>
      <c r="C91" s="56" t="inlineStr">
        <is>
          <t>x</t>
        </is>
      </c>
      <c r="D91" s="56" t="n"/>
      <c r="E91" s="56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  <c r="AZ91" s="62" t="n"/>
      <c r="BA91" s="62" t="n"/>
      <c r="BB91" s="62" t="n"/>
      <c r="BC91" s="62" t="n"/>
      <c r="BD91" s="62" t="n"/>
      <c r="BE91" s="62" t="n"/>
      <c r="BF91" s="62" t="n"/>
      <c r="BG91" s="62" t="n"/>
      <c r="BH91" s="62" t="n"/>
      <c r="BI91" s="62" t="n"/>
      <c r="BJ91" s="62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  <c r="CA91" s="62" t="n"/>
      <c r="CB91" s="62" t="n"/>
      <c r="EU91" s="30" t="n"/>
      <c r="EV91" s="30" t="n"/>
      <c r="EW91" s="30" t="n"/>
    </row>
    <row r="92" ht="15" customHeight="1">
      <c r="A92" s="61" t="inlineStr">
        <is>
          <t>Duplicado</t>
        </is>
      </c>
      <c r="B92" s="62" t="n"/>
      <c r="C92" s="56" t="n"/>
      <c r="D92" s="56" t="inlineStr">
        <is>
          <t>x</t>
        </is>
      </c>
      <c r="E92" s="56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  <c r="AZ92" s="62" t="n"/>
      <c r="BA92" s="62" t="n"/>
      <c r="BB92" s="62" t="n"/>
      <c r="BC92" s="62" t="n"/>
      <c r="BD92" s="62" t="n"/>
      <c r="BE92" s="62" t="n"/>
      <c r="BF92" s="62" t="n"/>
      <c r="BG92" s="62" t="n"/>
      <c r="BH92" s="62" t="n"/>
      <c r="BI92" s="62" t="n"/>
      <c r="BJ92" s="62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  <c r="CA92" s="62" t="n"/>
      <c r="CB92" s="62" t="n"/>
      <c r="EU92" s="30" t="n"/>
      <c r="EV92" s="30" t="n"/>
      <c r="EW92" s="30" t="n"/>
    </row>
    <row r="93" ht="15" customHeight="1">
      <c r="A93" s="61" t="inlineStr">
        <is>
          <t>Vacío o nulo</t>
        </is>
      </c>
      <c r="B93" s="62" t="n"/>
      <c r="C93" s="56" t="n"/>
      <c r="D93" s="56" t="n"/>
      <c r="E93" s="56" t="inlineStr">
        <is>
          <t>x</t>
        </is>
      </c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  <c r="AZ93" s="62" t="n"/>
      <c r="BA93" s="62" t="n"/>
      <c r="BB93" s="62" t="n"/>
      <c r="BC93" s="62" t="n"/>
      <c r="BD93" s="62" t="n"/>
      <c r="BE93" s="62" t="n"/>
      <c r="BF93" s="62" t="n"/>
      <c r="BG93" s="62" t="n"/>
      <c r="BH93" s="62" t="n"/>
      <c r="BI93" s="62" t="n"/>
      <c r="BJ93" s="62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  <c r="CA93" s="62" t="n"/>
      <c r="CB93" s="62" t="n"/>
      <c r="EU93" s="30" t="n"/>
      <c r="EV93" s="30" t="n"/>
      <c r="EW93" s="30" t="n"/>
    </row>
    <row r="94" ht="15" customHeight="1">
      <c r="A94" s="47" t="inlineStr">
        <is>
          <t>Acciones</t>
        </is>
      </c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7" t="n"/>
      <c r="AH94" s="57" t="n"/>
      <c r="AI94" s="57" t="n"/>
      <c r="AJ94" s="57" t="n"/>
      <c r="AK94" s="57" t="n"/>
      <c r="AL94" s="57" t="n"/>
      <c r="AM94" s="57" t="n"/>
      <c r="AN94" s="57" t="n"/>
      <c r="AO94" s="57" t="n"/>
      <c r="AP94" s="57" t="n"/>
      <c r="AQ94" s="57" t="n"/>
      <c r="AR94" s="57" t="n"/>
      <c r="AS94" s="57" t="n"/>
      <c r="AT94" s="57" t="n"/>
      <c r="AU94" s="57" t="n"/>
      <c r="AV94" s="57" t="n"/>
      <c r="AW94" s="57" t="n"/>
      <c r="AX94" s="57" t="n"/>
      <c r="AY94" s="57" t="n"/>
      <c r="AZ94" s="57" t="n"/>
      <c r="BA94" s="57" t="n"/>
      <c r="BB94" s="57" t="n"/>
      <c r="BC94" s="57" t="n"/>
      <c r="BD94" s="57" t="n"/>
      <c r="BE94" s="57" t="n"/>
      <c r="BF94" s="57" t="n"/>
      <c r="BG94" s="57" t="n"/>
      <c r="BH94" s="57" t="n"/>
      <c r="BI94" s="57" t="n"/>
      <c r="BJ94" s="57" t="n"/>
      <c r="BK94" s="57" t="n"/>
      <c r="BL94" s="57" t="n"/>
      <c r="BM94" s="57" t="n"/>
      <c r="BN94" s="57" t="n"/>
      <c r="BO94" s="57" t="n"/>
      <c r="BP94" s="57" t="n"/>
      <c r="BQ94" s="57" t="n"/>
      <c r="BR94" s="57" t="n"/>
      <c r="BS94" s="57" t="n"/>
      <c r="BT94" s="57" t="n"/>
      <c r="BU94" s="57" t="n"/>
      <c r="BV94" s="57" t="n"/>
      <c r="BW94" s="57" t="n"/>
      <c r="BX94" s="57" t="n"/>
      <c r="BY94" s="57" t="n"/>
      <c r="BZ94" s="57" t="n"/>
      <c r="CA94" s="57" t="n"/>
      <c r="CB94" s="57" t="n"/>
    </row>
    <row r="95" ht="14.25" customHeight="1">
      <c r="A95" s="53" t="inlineStr">
        <is>
          <t>Confirmar</t>
        </is>
      </c>
      <c r="B95" s="56" t="inlineStr">
        <is>
          <t>x</t>
        </is>
      </c>
      <c r="C95" s="56" t="inlineStr">
        <is>
          <t>x</t>
        </is>
      </c>
      <c r="D95" s="56" t="n"/>
      <c r="E95" s="56" t="n"/>
      <c r="F95" s="56" t="n"/>
      <c r="G95" s="56" t="inlineStr">
        <is>
          <t>x</t>
        </is>
      </c>
      <c r="H95" s="56" t="inlineStr">
        <is>
          <t>x</t>
        </is>
      </c>
      <c r="I95" s="56" t="inlineStr">
        <is>
          <t>x</t>
        </is>
      </c>
      <c r="J95" s="56" t="inlineStr">
        <is>
          <t>x</t>
        </is>
      </c>
      <c r="K95" s="56" t="inlineStr">
        <is>
          <t>x</t>
        </is>
      </c>
      <c r="L95" s="56" t="inlineStr">
        <is>
          <t>x</t>
        </is>
      </c>
      <c r="M95" s="56" t="inlineStr">
        <is>
          <t>x</t>
        </is>
      </c>
      <c r="N95" s="56" t="inlineStr">
        <is>
          <t>x</t>
        </is>
      </c>
      <c r="O95" s="56" t="inlineStr">
        <is>
          <t>x</t>
        </is>
      </c>
      <c r="P95" s="56" t="inlineStr">
        <is>
          <t>x</t>
        </is>
      </c>
      <c r="Q95" s="56" t="n"/>
      <c r="R95" s="56" t="inlineStr">
        <is>
          <t>x</t>
        </is>
      </c>
      <c r="S95" s="56" t="inlineStr">
        <is>
          <t>x</t>
        </is>
      </c>
      <c r="T95" s="56" t="inlineStr">
        <is>
          <t>x</t>
        </is>
      </c>
      <c r="U95" s="56" t="inlineStr">
        <is>
          <t>x</t>
        </is>
      </c>
      <c r="V95" s="56" t="inlineStr">
        <is>
          <t>x</t>
        </is>
      </c>
      <c r="W95" s="56" t="inlineStr">
        <is>
          <t>x</t>
        </is>
      </c>
      <c r="X95" s="56" t="inlineStr">
        <is>
          <t>x</t>
        </is>
      </c>
      <c r="Y95" s="56" t="inlineStr">
        <is>
          <t>x</t>
        </is>
      </c>
      <c r="Z95" s="56" t="inlineStr">
        <is>
          <t>x</t>
        </is>
      </c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6" t="n"/>
      <c r="AQ95" s="56" t="n"/>
      <c r="AR95" s="56" t="inlineStr">
        <is>
          <t>x</t>
        </is>
      </c>
      <c r="AS95" s="56" t="inlineStr">
        <is>
          <t>x</t>
        </is>
      </c>
      <c r="AT95" s="56" t="inlineStr">
        <is>
          <t>x</t>
        </is>
      </c>
      <c r="AU95" s="56" t="n"/>
      <c r="AV95" s="56" t="inlineStr">
        <is>
          <t>x</t>
        </is>
      </c>
      <c r="AW95" s="56" t="inlineStr">
        <is>
          <t>x</t>
        </is>
      </c>
      <c r="AX95" s="56" t="inlineStr">
        <is>
          <t>x</t>
        </is>
      </c>
      <c r="AY95" s="56" t="inlineStr">
        <is>
          <t>x</t>
        </is>
      </c>
      <c r="AZ95" s="56" t="inlineStr">
        <is>
          <t>x</t>
        </is>
      </c>
      <c r="BA95" s="56" t="inlineStr">
        <is>
          <t>x</t>
        </is>
      </c>
      <c r="BB95" s="56" t="inlineStr">
        <is>
          <t>x</t>
        </is>
      </c>
      <c r="BC95" s="56" t="inlineStr">
        <is>
          <t>x</t>
        </is>
      </c>
      <c r="BD95" s="56" t="inlineStr">
        <is>
          <t>x</t>
        </is>
      </c>
      <c r="BE95" s="56" t="inlineStr">
        <is>
          <t>x</t>
        </is>
      </c>
      <c r="BF95" s="56" t="inlineStr">
        <is>
          <t>x</t>
        </is>
      </c>
      <c r="BG95" s="56" t="inlineStr">
        <is>
          <t>x</t>
        </is>
      </c>
      <c r="BH95" s="56" t="inlineStr">
        <is>
          <t>x</t>
        </is>
      </c>
      <c r="BI95" s="56" t="n"/>
      <c r="BJ95" s="56" t="n"/>
      <c r="BK95" s="56" t="n"/>
      <c r="BL95" s="56" t="n"/>
      <c r="BM95" s="56" t="inlineStr">
        <is>
          <t>x</t>
        </is>
      </c>
      <c r="BN95" s="56" t="inlineStr">
        <is>
          <t>x</t>
        </is>
      </c>
      <c r="BO95" s="56" t="inlineStr">
        <is>
          <t>x</t>
        </is>
      </c>
      <c r="BP95" s="56" t="inlineStr">
        <is>
          <t>x</t>
        </is>
      </c>
      <c r="BQ95" s="56" t="inlineStr">
        <is>
          <t>x</t>
        </is>
      </c>
      <c r="BR95" s="56" t="inlineStr">
        <is>
          <t>x</t>
        </is>
      </c>
      <c r="BS95" s="56" t="inlineStr">
        <is>
          <t>x</t>
        </is>
      </c>
      <c r="BT95" s="56" t="inlineStr">
        <is>
          <t>x</t>
        </is>
      </c>
      <c r="BU95" s="56" t="inlineStr">
        <is>
          <t>x</t>
        </is>
      </c>
      <c r="BV95" s="56" t="inlineStr">
        <is>
          <t>x</t>
        </is>
      </c>
      <c r="BW95" s="56" t="inlineStr">
        <is>
          <t>x</t>
        </is>
      </c>
      <c r="BX95" s="56" t="inlineStr">
        <is>
          <t>x</t>
        </is>
      </c>
      <c r="BY95" s="56" t="inlineStr">
        <is>
          <t>x</t>
        </is>
      </c>
      <c r="BZ95" s="56" t="inlineStr">
        <is>
          <t>x</t>
        </is>
      </c>
      <c r="CA95" s="56" t="inlineStr">
        <is>
          <t>x</t>
        </is>
      </c>
      <c r="CB95" s="56" t="inlineStr">
        <is>
          <t>x</t>
        </is>
      </c>
    </row>
    <row r="96" ht="15" customHeight="1">
      <c r="A96" s="53" t="inlineStr">
        <is>
          <t>Aceptar (Impresión timbre)</t>
        </is>
      </c>
      <c r="B96" s="56" t="inlineStr">
        <is>
          <t>x</t>
        </is>
      </c>
      <c r="C96" s="56" t="inlineStr">
        <is>
          <t>x</t>
        </is>
      </c>
      <c r="D96" s="56" t="n"/>
      <c r="E96" s="56" t="n"/>
      <c r="F96" s="56" t="n"/>
      <c r="G96" s="56" t="inlineStr">
        <is>
          <t>x</t>
        </is>
      </c>
      <c r="H96" s="56" t="inlineStr">
        <is>
          <t>x</t>
        </is>
      </c>
      <c r="I96" s="56" t="inlineStr">
        <is>
          <t>x</t>
        </is>
      </c>
      <c r="J96" s="56" t="inlineStr">
        <is>
          <t>x</t>
        </is>
      </c>
      <c r="K96" s="56" t="inlineStr">
        <is>
          <t>x</t>
        </is>
      </c>
      <c r="L96" s="56" t="inlineStr">
        <is>
          <t>x</t>
        </is>
      </c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6" t="n"/>
      <c r="AQ96" s="56" t="n"/>
      <c r="AR96" s="56" t="n"/>
      <c r="AS96" s="67" t="n"/>
      <c r="AT96" s="56" t="n"/>
      <c r="AU96" s="56" t="n"/>
      <c r="AV96" s="56" t="n"/>
      <c r="AW96" s="67" t="n"/>
      <c r="AX96" s="56" t="n"/>
      <c r="AY96" s="56" t="n"/>
      <c r="AZ96" s="67" t="n"/>
      <c r="BA96" s="56" t="n"/>
      <c r="BB96" s="56" t="n"/>
      <c r="BC96" s="67" t="n"/>
      <c r="BD96" s="56" t="n"/>
      <c r="BE96" s="56" t="n"/>
      <c r="BF96" s="67" t="n"/>
      <c r="BG96" s="56" t="n"/>
      <c r="BH96" s="56" t="n"/>
      <c r="BI96" s="67" t="n"/>
      <c r="BJ96" s="67" t="n"/>
      <c r="BK96" s="67" t="n"/>
      <c r="BL96" s="67" t="n"/>
      <c r="BM96" s="67" t="n"/>
      <c r="BN96" s="56" t="n"/>
      <c r="BO96" s="56" t="n"/>
      <c r="BP96" s="67" t="n"/>
      <c r="BQ96" s="56" t="n"/>
      <c r="BR96" s="56" t="n"/>
      <c r="BS96" s="67" t="n"/>
      <c r="BT96" s="56" t="n"/>
      <c r="BU96" s="56" t="n"/>
      <c r="BV96" s="67" t="n"/>
      <c r="BW96" s="56" t="n"/>
      <c r="BX96" s="56" t="n"/>
      <c r="BY96" s="67" t="n"/>
      <c r="BZ96" s="56" t="n"/>
      <c r="CA96" s="56" t="n"/>
      <c r="CB96" s="67" t="n"/>
    </row>
    <row r="97" ht="15" customHeight="1">
      <c r="A97" s="53" t="inlineStr">
        <is>
          <t>Reprocesar (Caja Pago Remesas internacionales)</t>
        </is>
      </c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inlineStr">
        <is>
          <t>x</t>
        </is>
      </c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n"/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6" t="n"/>
      <c r="AQ97" s="56" t="n"/>
      <c r="AR97" s="56" t="n"/>
      <c r="AS97" s="67" t="n"/>
      <c r="AT97" s="56" t="n"/>
      <c r="AU97" s="56" t="n"/>
      <c r="AV97" s="56" t="n"/>
      <c r="AW97" s="67" t="n"/>
      <c r="AX97" s="56" t="n"/>
      <c r="AY97" s="56" t="n"/>
      <c r="AZ97" s="67" t="n"/>
      <c r="BA97" s="56" t="n"/>
      <c r="BB97" s="56" t="n"/>
      <c r="BC97" s="67" t="n"/>
      <c r="BD97" s="56" t="n"/>
      <c r="BE97" s="56" t="n"/>
      <c r="BF97" s="67" t="n"/>
      <c r="BG97" s="56" t="n"/>
      <c r="BH97" s="56" t="n"/>
      <c r="BI97" s="67" t="n"/>
      <c r="BJ97" s="67" t="n"/>
      <c r="BK97" s="67" t="n"/>
      <c r="BL97" s="67" t="n"/>
      <c r="BM97" s="67" t="n"/>
      <c r="BN97" s="56" t="n"/>
      <c r="BO97" s="56" t="n"/>
      <c r="BP97" s="67" t="n"/>
      <c r="BQ97" s="56" t="n"/>
      <c r="BR97" s="56" t="n"/>
      <c r="BS97" s="67" t="n"/>
      <c r="BT97" s="56" t="n"/>
      <c r="BU97" s="56" t="n"/>
      <c r="BV97" s="67" t="n"/>
      <c r="BW97" s="56" t="n"/>
      <c r="BX97" s="56" t="n"/>
      <c r="BY97" s="67" t="n"/>
      <c r="BZ97" s="56" t="n"/>
      <c r="CA97" s="56" t="n"/>
      <c r="CB97" s="67" t="n"/>
    </row>
    <row r="98" ht="15" customHeight="1">
      <c r="A98" s="53" t="inlineStr">
        <is>
          <t>Asiento  (Caja Pago Remesas internacionales)</t>
        </is>
      </c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inlineStr">
        <is>
          <t>x</t>
        </is>
      </c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56" t="n"/>
      <c r="AB98" s="56" t="n"/>
      <c r="AC98" s="56" t="n"/>
      <c r="AD98" s="56" t="n"/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6" t="n"/>
      <c r="AQ98" s="56" t="n"/>
      <c r="AR98" s="56" t="n"/>
      <c r="AS98" s="67" t="n"/>
      <c r="AT98" s="56" t="n"/>
      <c r="AU98" s="56" t="n"/>
      <c r="AV98" s="56" t="n"/>
      <c r="AW98" s="67" t="n"/>
      <c r="AX98" s="56" t="n"/>
      <c r="AY98" s="56" t="n"/>
      <c r="AZ98" s="67" t="n"/>
      <c r="BA98" s="56" t="n"/>
      <c r="BB98" s="56" t="n"/>
      <c r="BC98" s="67" t="n"/>
      <c r="BD98" s="56" t="n"/>
      <c r="BE98" s="56" t="n"/>
      <c r="BF98" s="67" t="n"/>
      <c r="BG98" s="56" t="n"/>
      <c r="BH98" s="56" t="n"/>
      <c r="BI98" s="67" t="n"/>
      <c r="BJ98" s="67" t="n"/>
      <c r="BK98" s="67" t="n"/>
      <c r="BL98" s="67" t="n"/>
      <c r="BM98" s="67" t="n"/>
      <c r="BN98" s="56" t="n"/>
      <c r="BO98" s="56" t="n"/>
      <c r="BP98" s="67" t="n"/>
      <c r="BQ98" s="56" t="n"/>
      <c r="BR98" s="56" t="n"/>
      <c r="BS98" s="67" t="n"/>
      <c r="BT98" s="56" t="n"/>
      <c r="BU98" s="56" t="n"/>
      <c r="BV98" s="67" t="n"/>
      <c r="BW98" s="56" t="n"/>
      <c r="BX98" s="56" t="n"/>
      <c r="BY98" s="67" t="n"/>
      <c r="BZ98" s="56" t="n"/>
      <c r="CA98" s="56" t="n"/>
      <c r="CB98" s="67" t="n"/>
    </row>
    <row r="99" ht="15" customHeight="1">
      <c r="A99" s="53" t="inlineStr">
        <is>
          <t>Cerrar  (Caja Pago Remesas internacionales)</t>
        </is>
      </c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inlineStr">
        <is>
          <t>x</t>
        </is>
      </c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n"/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6" t="n"/>
      <c r="AQ99" s="56" t="n"/>
      <c r="AR99" s="56" t="n"/>
      <c r="AS99" s="67" t="n"/>
      <c r="AT99" s="56" t="n"/>
      <c r="AU99" s="56" t="n"/>
      <c r="AV99" s="56" t="n"/>
      <c r="AW99" s="67" t="n"/>
      <c r="AX99" s="56" t="n"/>
      <c r="AY99" s="56" t="n"/>
      <c r="AZ99" s="67" t="n"/>
      <c r="BA99" s="56" t="n"/>
      <c r="BB99" s="56" t="n"/>
      <c r="BC99" s="67" t="n"/>
      <c r="BD99" s="56" t="n"/>
      <c r="BE99" s="56" t="n"/>
      <c r="BF99" s="67" t="n"/>
      <c r="BG99" s="56" t="n"/>
      <c r="BH99" s="56" t="n"/>
      <c r="BI99" s="67" t="n"/>
      <c r="BJ99" s="67" t="n"/>
      <c r="BK99" s="67" t="n"/>
      <c r="BL99" s="67" t="n"/>
      <c r="BM99" s="67" t="n"/>
      <c r="BN99" s="56" t="n"/>
      <c r="BO99" s="56" t="n"/>
      <c r="BP99" s="67" t="n"/>
      <c r="BQ99" s="56" t="n"/>
      <c r="BR99" s="56" t="n"/>
      <c r="BS99" s="67" t="n"/>
      <c r="BT99" s="56" t="n"/>
      <c r="BU99" s="56" t="n"/>
      <c r="BV99" s="67" t="n"/>
      <c r="BW99" s="56" t="n"/>
      <c r="BX99" s="56" t="n"/>
      <c r="BY99" s="67" t="n"/>
      <c r="BZ99" s="56" t="n"/>
      <c r="CA99" s="56" t="n"/>
      <c r="CB99" s="67" t="n"/>
    </row>
    <row r="100" ht="15" customHeight="1">
      <c r="A100" s="53" t="inlineStr">
        <is>
          <t>Confirmar  (Caja Pago Remesas internacionales)</t>
        </is>
      </c>
      <c r="B100" s="56" t="inlineStr">
        <is>
          <t>x</t>
        </is>
      </c>
      <c r="C100" s="56" t="inlineStr">
        <is>
          <t>x</t>
        </is>
      </c>
      <c r="D100" s="56" t="n"/>
      <c r="E100" s="56" t="n"/>
      <c r="F100" s="56" t="n"/>
      <c r="G100" s="56" t="inlineStr">
        <is>
          <t>x</t>
        </is>
      </c>
      <c r="H100" s="56" t="inlineStr">
        <is>
          <t>x</t>
        </is>
      </c>
      <c r="I100" s="56" t="inlineStr">
        <is>
          <t>x</t>
        </is>
      </c>
      <c r="J100" s="56" t="inlineStr">
        <is>
          <t>x</t>
        </is>
      </c>
      <c r="K100" s="56" t="inlineStr">
        <is>
          <t>x</t>
        </is>
      </c>
      <c r="L100" s="56" t="inlineStr">
        <is>
          <t>x</t>
        </is>
      </c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56" t="n"/>
      <c r="AB100" s="56" t="n"/>
      <c r="AC100" s="56" t="n"/>
      <c r="AD100" s="56" t="n"/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6" t="n"/>
      <c r="AQ100" s="56" t="n"/>
      <c r="AR100" s="56" t="n"/>
      <c r="AS100" s="67" t="n"/>
      <c r="AT100" s="56" t="n"/>
      <c r="AU100" s="56" t="n"/>
      <c r="AV100" s="56" t="n"/>
      <c r="AW100" s="67" t="n"/>
      <c r="AX100" s="56" t="n"/>
      <c r="AY100" s="56" t="n"/>
      <c r="AZ100" s="67" t="n"/>
      <c r="BA100" s="56" t="n"/>
      <c r="BB100" s="56" t="n"/>
      <c r="BC100" s="67" t="n"/>
      <c r="BD100" s="56" t="n"/>
      <c r="BE100" s="56" t="n"/>
      <c r="BF100" s="67" t="n"/>
      <c r="BG100" s="56" t="n"/>
      <c r="BH100" s="56" t="n"/>
      <c r="BI100" s="67" t="n"/>
      <c r="BJ100" s="67" t="n"/>
      <c r="BK100" s="67" t="n"/>
      <c r="BL100" s="67" t="n"/>
      <c r="BM100" s="67" t="n"/>
      <c r="BN100" s="56" t="n"/>
      <c r="BO100" s="56" t="n"/>
      <c r="BP100" s="67" t="n"/>
      <c r="BQ100" s="56" t="n"/>
      <c r="BR100" s="56" t="n"/>
      <c r="BS100" s="67" t="n"/>
      <c r="BT100" s="56" t="n"/>
      <c r="BU100" s="56" t="n"/>
      <c r="BV100" s="67" t="n"/>
      <c r="BW100" s="56" t="n"/>
      <c r="BX100" s="56" t="n"/>
      <c r="BY100" s="67" t="n"/>
      <c r="BZ100" s="56" t="n"/>
      <c r="CA100" s="56" t="n"/>
      <c r="CB100" s="67" t="n"/>
    </row>
    <row r="101" ht="15" customHeight="1">
      <c r="A101" s="53" t="inlineStr">
        <is>
          <t>Consulta (Selección Titular/Beneficiario)</t>
        </is>
      </c>
      <c r="B101" s="56" t="n"/>
      <c r="C101" s="56" t="inlineStr">
        <is>
          <t>x</t>
        </is>
      </c>
      <c r="D101" s="56" t="n"/>
      <c r="E101" s="56" t="n"/>
      <c r="F101" s="56" t="n"/>
      <c r="G101" s="56" t="n"/>
      <c r="H101" s="56" t="inlineStr">
        <is>
          <t>x</t>
        </is>
      </c>
      <c r="I101" s="56" t="n"/>
      <c r="J101" s="56" t="inlineStr">
        <is>
          <t>x</t>
        </is>
      </c>
      <c r="K101" s="56" t="n"/>
      <c r="L101" s="56" t="inlineStr">
        <is>
          <t>x</t>
        </is>
      </c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n"/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6" t="n"/>
      <c r="AQ101" s="56" t="n"/>
      <c r="AR101" s="56" t="n"/>
      <c r="AS101" s="67" t="n"/>
      <c r="AT101" s="56" t="n"/>
      <c r="AU101" s="56" t="n"/>
      <c r="AV101" s="56" t="n"/>
      <c r="AW101" s="67" t="n"/>
      <c r="AX101" s="56" t="n"/>
      <c r="AY101" s="56" t="n"/>
      <c r="AZ101" s="67" t="n"/>
      <c r="BA101" s="56" t="n"/>
      <c r="BB101" s="56" t="n"/>
      <c r="BC101" s="67" t="n"/>
      <c r="BD101" s="56" t="n"/>
      <c r="BE101" s="56" t="n"/>
      <c r="BF101" s="67" t="n"/>
      <c r="BG101" s="56" t="n"/>
      <c r="BH101" s="56" t="n"/>
      <c r="BI101" s="67" t="n"/>
      <c r="BJ101" s="67" t="n"/>
      <c r="BK101" s="67" t="n"/>
      <c r="BL101" s="67" t="n"/>
      <c r="BM101" s="67" t="n"/>
      <c r="BN101" s="56" t="n"/>
      <c r="BO101" s="56" t="n"/>
      <c r="BP101" s="67" t="n"/>
      <c r="BQ101" s="56" t="n"/>
      <c r="BR101" s="56" t="n"/>
      <c r="BS101" s="67" t="n"/>
      <c r="BT101" s="56" t="n"/>
      <c r="BU101" s="56" t="n"/>
      <c r="BV101" s="67" t="n"/>
      <c r="BW101" s="56" t="n"/>
      <c r="BX101" s="56" t="n"/>
      <c r="BY101" s="67" t="n"/>
      <c r="BZ101" s="56" t="n"/>
      <c r="CA101" s="56" t="n"/>
      <c r="CB101" s="67" t="n"/>
    </row>
    <row r="102" ht="15" customHeight="1">
      <c r="A102" s="53" t="inlineStr">
        <is>
          <t>Validar (Selección Titular/Beneficiario)</t>
        </is>
      </c>
      <c r="B102" s="56" t="n"/>
      <c r="C102" s="56" t="inlineStr">
        <is>
          <t>x</t>
        </is>
      </c>
      <c r="D102" s="56" t="n"/>
      <c r="E102" s="56" t="n"/>
      <c r="F102" s="56" t="n"/>
      <c r="G102" s="56" t="n"/>
      <c r="H102" s="56" t="inlineStr">
        <is>
          <t>x</t>
        </is>
      </c>
      <c r="I102" s="56" t="n"/>
      <c r="J102" s="56" t="inlineStr">
        <is>
          <t>x</t>
        </is>
      </c>
      <c r="K102" s="56" t="n"/>
      <c r="L102" s="56" t="inlineStr">
        <is>
          <t>x</t>
        </is>
      </c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56" t="n"/>
      <c r="AB102" s="56" t="n"/>
      <c r="AC102" s="56" t="n"/>
      <c r="AD102" s="56" t="n"/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6" t="n"/>
      <c r="AQ102" s="56" t="n"/>
      <c r="AR102" s="56" t="n"/>
      <c r="AS102" s="67" t="n"/>
      <c r="AT102" s="56" t="n"/>
      <c r="AU102" s="56" t="n"/>
      <c r="AV102" s="56" t="n"/>
      <c r="AW102" s="67" t="n"/>
      <c r="AX102" s="56" t="n"/>
      <c r="AY102" s="56" t="n"/>
      <c r="AZ102" s="67" t="n"/>
      <c r="BA102" s="56" t="n"/>
      <c r="BB102" s="56" t="n"/>
      <c r="BC102" s="67" t="n"/>
      <c r="BD102" s="56" t="n"/>
      <c r="BE102" s="56" t="n"/>
      <c r="BF102" s="67" t="n"/>
      <c r="BG102" s="56" t="n"/>
      <c r="BH102" s="56" t="n"/>
      <c r="BI102" s="67" t="n"/>
      <c r="BJ102" s="67" t="n"/>
      <c r="BK102" s="67" t="n"/>
      <c r="BL102" s="67" t="n"/>
      <c r="BM102" s="67" t="n"/>
      <c r="BN102" s="56" t="n"/>
      <c r="BO102" s="56" t="n"/>
      <c r="BP102" s="67" t="n"/>
      <c r="BQ102" s="56" t="n"/>
      <c r="BR102" s="56" t="n"/>
      <c r="BS102" s="67" t="n"/>
      <c r="BT102" s="56" t="n"/>
      <c r="BU102" s="56" t="n"/>
      <c r="BV102" s="67" t="n"/>
      <c r="BW102" s="56" t="n"/>
      <c r="BX102" s="56" t="n"/>
      <c r="BY102" s="67" t="n"/>
      <c r="BZ102" s="56" t="n"/>
      <c r="CA102" s="56" t="n"/>
      <c r="CB102" s="67" t="n"/>
    </row>
    <row r="103" ht="15.75" customHeight="1">
      <c r="A103" s="53" t="inlineStr">
        <is>
          <t>Aceptar (Selección Titular/Beneficiario)</t>
        </is>
      </c>
      <c r="B103" s="56" t="n"/>
      <c r="C103" s="56" t="inlineStr">
        <is>
          <t>x</t>
        </is>
      </c>
      <c r="D103" s="56" t="n"/>
      <c r="E103" s="56" t="n"/>
      <c r="F103" s="56" t="n"/>
      <c r="G103" s="56" t="n"/>
      <c r="H103" s="56" t="inlineStr">
        <is>
          <t>x</t>
        </is>
      </c>
      <c r="I103" s="56" t="n"/>
      <c r="J103" s="56" t="inlineStr">
        <is>
          <t>x</t>
        </is>
      </c>
      <c r="K103" s="56" t="n"/>
      <c r="L103" s="56" t="inlineStr">
        <is>
          <t>x</t>
        </is>
      </c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67" t="n"/>
      <c r="AT103" s="56" t="n"/>
      <c r="AU103" s="56" t="n"/>
      <c r="AV103" s="56" t="n"/>
      <c r="AW103" s="67" t="n"/>
      <c r="AX103" s="56" t="n"/>
      <c r="AY103" s="56" t="n"/>
      <c r="AZ103" s="67" t="n"/>
      <c r="BA103" s="56" t="n"/>
      <c r="BB103" s="56" t="n"/>
      <c r="BC103" s="67" t="n"/>
      <c r="BD103" s="56" t="n"/>
      <c r="BE103" s="56" t="n"/>
      <c r="BF103" s="67" t="n"/>
      <c r="BG103" s="56" t="n"/>
      <c r="BH103" s="56" t="n"/>
      <c r="BI103" s="67" t="n"/>
      <c r="BJ103" s="67" t="n"/>
      <c r="BK103" s="67" t="n"/>
      <c r="BL103" s="67" t="n"/>
      <c r="BM103" s="67" t="n"/>
      <c r="BN103" s="56" t="n"/>
      <c r="BO103" s="56" t="n"/>
      <c r="BP103" s="67" t="n"/>
      <c r="BQ103" s="56" t="n"/>
      <c r="BR103" s="56" t="n"/>
      <c r="BS103" s="67" t="n"/>
      <c r="BT103" s="56" t="n"/>
      <c r="BU103" s="56" t="n"/>
      <c r="BV103" s="67" t="n"/>
      <c r="BW103" s="56" t="n"/>
      <c r="BX103" s="56" t="n"/>
      <c r="BY103" s="67" t="n"/>
      <c r="BZ103" s="56" t="n"/>
      <c r="CA103" s="56" t="n"/>
      <c r="CB103" s="67" t="n"/>
    </row>
    <row r="104" ht="15.75" customHeight="1">
      <c r="A104" s="53" t="inlineStr">
        <is>
          <t>Reprocesar (Cheque - Bancos Nacionales	)</t>
        </is>
      </c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6" t="n"/>
      <c r="AQ104" s="56" t="n"/>
      <c r="AR104" s="56" t="n"/>
      <c r="AS104" s="67" t="n"/>
      <c r="AT104" s="56" t="n"/>
      <c r="AU104" s="56" t="n"/>
      <c r="AV104" s="56" t="n"/>
      <c r="AW104" s="67" t="n"/>
      <c r="AX104" s="56" t="n"/>
      <c r="AY104" s="56" t="n"/>
      <c r="AZ104" s="67" t="n"/>
      <c r="BA104" s="56" t="n"/>
      <c r="BB104" s="56" t="n"/>
      <c r="BC104" s="67" t="n"/>
      <c r="BD104" s="56" t="n"/>
      <c r="BE104" s="56" t="n"/>
      <c r="BF104" s="67" t="n"/>
      <c r="BG104" s="56" t="n"/>
      <c r="BH104" s="56" t="n"/>
      <c r="BI104" s="67" t="n"/>
      <c r="BJ104" s="67" t="n"/>
      <c r="BK104" s="67" t="n"/>
      <c r="BL104" s="67" t="n"/>
      <c r="BM104" s="67" t="n"/>
      <c r="BN104" s="56" t="n"/>
      <c r="BO104" s="56" t="n"/>
      <c r="BP104" s="67" t="n"/>
      <c r="BQ104" s="56" t="n"/>
      <c r="BR104" s="56" t="n"/>
      <c r="BS104" s="67" t="n"/>
      <c r="BT104" s="56" t="n"/>
      <c r="BU104" s="56" t="n"/>
      <c r="BV104" s="67" t="n"/>
      <c r="BW104" s="56" t="n"/>
      <c r="BX104" s="56" t="n"/>
      <c r="BY104" s="67" t="n"/>
      <c r="BZ104" s="56" t="n"/>
      <c r="CA104" s="56" t="n"/>
      <c r="CB104" s="67" t="n"/>
    </row>
    <row r="105" ht="15.75" customHeight="1">
      <c r="A105" s="53" t="inlineStr">
        <is>
          <t>Asiento  (Cheque - Bancos Nacionales	)</t>
        </is>
      </c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n"/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6" t="n"/>
      <c r="AQ105" s="56" t="n"/>
      <c r="AR105" s="56" t="n"/>
      <c r="AS105" s="67" t="n"/>
      <c r="AT105" s="56" t="n"/>
      <c r="AU105" s="56" t="n"/>
      <c r="AV105" s="56" t="n"/>
      <c r="AW105" s="67" t="n"/>
      <c r="AX105" s="56" t="n"/>
      <c r="AY105" s="56" t="n"/>
      <c r="AZ105" s="67" t="n"/>
      <c r="BA105" s="56" t="n"/>
      <c r="BB105" s="56" t="n"/>
      <c r="BC105" s="67" t="n"/>
      <c r="BD105" s="56" t="n"/>
      <c r="BE105" s="56" t="n"/>
      <c r="BF105" s="67" t="n"/>
      <c r="BG105" s="56" t="n"/>
      <c r="BH105" s="56" t="n"/>
      <c r="BI105" s="67" t="n"/>
      <c r="BJ105" s="67" t="n"/>
      <c r="BK105" s="67" t="n"/>
      <c r="BL105" s="67" t="n"/>
      <c r="BM105" s="67" t="n"/>
      <c r="BN105" s="56" t="n"/>
      <c r="BO105" s="56" t="n"/>
      <c r="BP105" s="67" t="n"/>
      <c r="BQ105" s="56" t="n"/>
      <c r="BR105" s="56" t="n"/>
      <c r="BS105" s="67" t="n"/>
      <c r="BT105" s="56" t="n"/>
      <c r="BU105" s="56" t="n"/>
      <c r="BV105" s="67" t="n"/>
      <c r="BW105" s="56" t="n"/>
      <c r="BX105" s="56" t="n"/>
      <c r="BY105" s="67" t="n"/>
      <c r="BZ105" s="56" t="n"/>
      <c r="CA105" s="56" t="n"/>
      <c r="CB105" s="67" t="n"/>
    </row>
    <row r="106" ht="15.75" customHeight="1">
      <c r="A106" s="53" t="inlineStr">
        <is>
          <t>Cerrar  (Cheque - Bancos Nacionales	)</t>
        </is>
      </c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56" t="n"/>
      <c r="AB106" s="56" t="n"/>
      <c r="AC106" s="56" t="n"/>
      <c r="AD106" s="56" t="n"/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6" t="n"/>
      <c r="AQ106" s="56" t="n"/>
      <c r="AR106" s="56" t="n"/>
      <c r="AS106" s="67" t="n"/>
      <c r="AT106" s="56" t="n"/>
      <c r="AU106" s="56" t="n"/>
      <c r="AV106" s="56" t="n"/>
      <c r="AW106" s="67" t="n"/>
      <c r="AX106" s="56" t="n"/>
      <c r="AY106" s="56" t="n"/>
      <c r="AZ106" s="67" t="n"/>
      <c r="BA106" s="56" t="n"/>
      <c r="BB106" s="56" t="n"/>
      <c r="BC106" s="67" t="n"/>
      <c r="BD106" s="56" t="n"/>
      <c r="BE106" s="56" t="n"/>
      <c r="BF106" s="67" t="n"/>
      <c r="BG106" s="56" t="n"/>
      <c r="BH106" s="56" t="n"/>
      <c r="BI106" s="67" t="n"/>
      <c r="BJ106" s="67" t="n"/>
      <c r="BK106" s="67" t="n"/>
      <c r="BL106" s="67" t="n"/>
      <c r="BM106" s="67" t="n"/>
      <c r="BN106" s="56" t="n"/>
      <c r="BO106" s="56" t="n"/>
      <c r="BP106" s="67" t="n"/>
      <c r="BQ106" s="56" t="n"/>
      <c r="BR106" s="56" t="n"/>
      <c r="BS106" s="67" t="n"/>
      <c r="BT106" s="56" t="n"/>
      <c r="BU106" s="56" t="n"/>
      <c r="BV106" s="67" t="n"/>
      <c r="BW106" s="56" t="n"/>
      <c r="BX106" s="56" t="n"/>
      <c r="BY106" s="67" t="n"/>
      <c r="BZ106" s="56" t="n"/>
      <c r="CA106" s="56" t="n"/>
      <c r="CB106" s="67" t="n"/>
    </row>
    <row r="107" ht="15.75" customHeight="1">
      <c r="A107" s="53" t="inlineStr">
        <is>
          <t>Confirmar  (Cheque - Bancos Nacionales	)</t>
        </is>
      </c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6" t="n"/>
      <c r="AQ107" s="56" t="n"/>
      <c r="AR107" s="56" t="n"/>
      <c r="AS107" s="67" t="n"/>
      <c r="AT107" s="56" t="n"/>
      <c r="AU107" s="56" t="n"/>
      <c r="AV107" s="56" t="n"/>
      <c r="AW107" s="67" t="n"/>
      <c r="AX107" s="56" t="n"/>
      <c r="AY107" s="56" t="n"/>
      <c r="AZ107" s="67" t="n"/>
      <c r="BA107" s="56" t="n"/>
      <c r="BB107" s="56" t="n"/>
      <c r="BC107" s="67" t="n"/>
      <c r="BD107" s="56" t="n"/>
      <c r="BE107" s="56" t="n"/>
      <c r="BF107" s="67" t="n"/>
      <c r="BG107" s="56" t="n"/>
      <c r="BH107" s="56" t="n"/>
      <c r="BI107" s="67" t="n"/>
      <c r="BJ107" s="67" t="n"/>
      <c r="BK107" s="67" t="n"/>
      <c r="BL107" s="67" t="n"/>
      <c r="BM107" s="67" t="n"/>
      <c r="BN107" s="56" t="n"/>
      <c r="BO107" s="56" t="n"/>
      <c r="BP107" s="67" t="n"/>
      <c r="BQ107" s="56" t="n"/>
      <c r="BR107" s="56" t="n"/>
      <c r="BS107" s="67" t="n"/>
      <c r="BT107" s="56" t="n"/>
      <c r="BU107" s="56" t="n"/>
      <c r="BV107" s="67" t="n"/>
      <c r="BW107" s="56" t="n"/>
      <c r="BX107" s="56" t="n"/>
      <c r="BY107" s="67" t="n"/>
      <c r="BZ107" s="56" t="n"/>
      <c r="CA107" s="56" t="n"/>
      <c r="CB107" s="67" t="n"/>
    </row>
    <row r="108" ht="15.75" customHeight="1">
      <c r="A108" s="53" t="inlineStr">
        <is>
          <t>Continuar  (Cheque - Bancos Nacionales	)</t>
        </is>
      </c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56" t="n"/>
      <c r="AB108" s="56" t="n"/>
      <c r="AC108" s="56" t="n"/>
      <c r="AD108" s="56" t="n"/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6" t="n"/>
      <c r="AQ108" s="56" t="n"/>
      <c r="AR108" s="56" t="n"/>
      <c r="AS108" s="67" t="n"/>
      <c r="AT108" s="56" t="n"/>
      <c r="AU108" s="56" t="n"/>
      <c r="AV108" s="56" t="n"/>
      <c r="AW108" s="67" t="n"/>
      <c r="AX108" s="56" t="n"/>
      <c r="AY108" s="56" t="n"/>
      <c r="AZ108" s="67" t="n"/>
      <c r="BA108" s="56" t="n"/>
      <c r="BB108" s="56" t="n"/>
      <c r="BC108" s="67" t="n"/>
      <c r="BD108" s="56" t="n"/>
      <c r="BE108" s="56" t="n"/>
      <c r="BF108" s="67" t="n"/>
      <c r="BG108" s="56" t="n"/>
      <c r="BH108" s="56" t="n"/>
      <c r="BI108" s="67" t="n"/>
      <c r="BJ108" s="67" t="n"/>
      <c r="BK108" s="67" t="n"/>
      <c r="BL108" s="67" t="n"/>
      <c r="BM108" s="67" t="n"/>
      <c r="BN108" s="56" t="n"/>
      <c r="BO108" s="56" t="n"/>
      <c r="BP108" s="67" t="n"/>
      <c r="BQ108" s="56" t="n"/>
      <c r="BR108" s="56" t="n"/>
      <c r="BS108" s="67" t="n"/>
      <c r="BT108" s="56" t="n"/>
      <c r="BU108" s="56" t="n"/>
      <c r="BV108" s="67" t="n"/>
      <c r="BW108" s="56" t="n"/>
      <c r="BX108" s="56" t="n"/>
      <c r="BY108" s="67" t="n"/>
      <c r="BZ108" s="56" t="n"/>
      <c r="CA108" s="56" t="n"/>
      <c r="CB108" s="67" t="n"/>
    </row>
    <row r="109" ht="15" customHeight="1">
      <c r="A109" s="53" t="inlineStr">
        <is>
          <t>Ejecutar la transacción de pago de remesas</t>
        </is>
      </c>
      <c r="B109" s="56" t="inlineStr">
        <is>
          <t>x</t>
        </is>
      </c>
      <c r="C109" s="56" t="inlineStr">
        <is>
          <t>x</t>
        </is>
      </c>
      <c r="D109" s="56" t="n"/>
      <c r="E109" s="56" t="n"/>
      <c r="F109" s="56" t="n"/>
      <c r="G109" s="56" t="inlineStr">
        <is>
          <t>x</t>
        </is>
      </c>
      <c r="H109" s="56" t="inlineStr">
        <is>
          <t>x</t>
        </is>
      </c>
      <c r="I109" s="56" t="inlineStr">
        <is>
          <t>x</t>
        </is>
      </c>
      <c r="J109" s="56" t="inlineStr">
        <is>
          <t>x</t>
        </is>
      </c>
      <c r="K109" s="56" t="inlineStr">
        <is>
          <t>x</t>
        </is>
      </c>
      <c r="L109" s="56" t="inlineStr">
        <is>
          <t>x</t>
        </is>
      </c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n"/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6" t="n"/>
      <c r="AQ109" s="56" t="n"/>
      <c r="AR109" s="58" t="n"/>
      <c r="AS109" s="59" t="n"/>
      <c r="AT109" s="58" t="n"/>
      <c r="AU109" s="58" t="n"/>
      <c r="AV109" s="58" t="n"/>
      <c r="AW109" s="59" t="n"/>
      <c r="AX109" s="58" t="n"/>
      <c r="AY109" s="58" t="n"/>
      <c r="AZ109" s="59" t="n"/>
      <c r="BA109" s="58" t="n"/>
      <c r="BB109" s="58" t="n"/>
      <c r="BC109" s="59" t="n"/>
      <c r="BD109" s="58" t="n"/>
      <c r="BE109" s="58" t="n"/>
      <c r="BF109" s="59" t="n"/>
      <c r="BG109" s="58" t="n"/>
      <c r="BH109" s="58" t="n"/>
      <c r="BI109" s="59" t="n"/>
      <c r="BJ109" s="59" t="n"/>
      <c r="BK109" s="59" t="n"/>
      <c r="BL109" s="59" t="n"/>
      <c r="BM109" s="59" t="n"/>
      <c r="BN109" s="58" t="n"/>
      <c r="BO109" s="58" t="n"/>
      <c r="BP109" s="59" t="n"/>
      <c r="BQ109" s="58" t="n"/>
      <c r="BR109" s="58" t="n"/>
      <c r="BS109" s="59" t="n"/>
      <c r="BT109" s="58" t="n"/>
      <c r="BU109" s="58" t="n"/>
      <c r="BV109" s="59" t="n"/>
      <c r="BW109" s="58" t="n"/>
      <c r="BX109" s="58" t="n"/>
      <c r="BY109" s="59" t="n"/>
      <c r="BZ109" s="58" t="n"/>
      <c r="CA109" s="58" t="n"/>
      <c r="CB109" s="59" t="n"/>
    </row>
    <row r="110" ht="15" customHeight="1">
      <c r="A110" s="54" t="inlineStr">
        <is>
          <t>Resultados</t>
        </is>
      </c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  <c r="AG110" s="57" t="n"/>
      <c r="AH110" s="57" t="n"/>
      <c r="AI110" s="57" t="n"/>
      <c r="AJ110" s="57" t="n"/>
      <c r="AK110" s="57" t="n"/>
      <c r="AL110" s="57" t="n"/>
      <c r="AM110" s="57" t="n"/>
      <c r="AN110" s="57" t="n"/>
      <c r="AO110" s="57" t="n"/>
      <c r="AP110" s="57" t="n"/>
      <c r="AQ110" s="57" t="n"/>
      <c r="AR110" s="57" t="n"/>
      <c r="AS110" s="57" t="n"/>
      <c r="AT110" s="57" t="n"/>
      <c r="AU110" s="57" t="n"/>
      <c r="AV110" s="57" t="n"/>
      <c r="AW110" s="57" t="n"/>
      <c r="AX110" s="57" t="n"/>
      <c r="AY110" s="57" t="n"/>
      <c r="AZ110" s="57" t="n"/>
      <c r="BA110" s="57" t="n"/>
      <c r="BB110" s="57" t="n"/>
      <c r="BC110" s="57" t="n"/>
      <c r="BD110" s="57" t="n"/>
      <c r="BE110" s="57" t="n"/>
      <c r="BF110" s="57" t="n"/>
      <c r="BG110" s="57" t="n"/>
      <c r="BH110" s="57" t="n"/>
      <c r="BI110" s="57" t="n"/>
      <c r="BJ110" s="57" t="n"/>
      <c r="BK110" s="57" t="n"/>
      <c r="BL110" s="57" t="n"/>
      <c r="BM110" s="57" t="n"/>
      <c r="BN110" s="57" t="n"/>
      <c r="BO110" s="57" t="n"/>
      <c r="BP110" s="57" t="n"/>
      <c r="BQ110" s="57" t="n"/>
      <c r="BR110" s="57" t="n"/>
      <c r="BS110" s="57" t="n"/>
      <c r="BT110" s="57" t="n"/>
      <c r="BU110" s="57" t="n"/>
      <c r="BV110" s="57" t="n"/>
      <c r="BW110" s="57" t="n"/>
      <c r="BX110" s="57" t="n"/>
      <c r="BY110" s="57" t="n"/>
      <c r="BZ110" s="57" t="n"/>
      <c r="CA110" s="57" t="n"/>
      <c r="CB110" s="57" t="n"/>
      <c r="EU110" s="30" t="n"/>
      <c r="EV110" s="30" t="n"/>
      <c r="EW110" s="30" t="n"/>
    </row>
    <row r="111" ht="15" customHeight="1">
      <c r="A111" s="55" t="inlineStr">
        <is>
          <t>El sistema muestra los nombres y apellidos del cliente</t>
        </is>
      </c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  <c r="AA111" s="65" t="n"/>
      <c r="AB111" s="65" t="n"/>
      <c r="AC111" s="65" t="n"/>
      <c r="AD111" s="65" t="n"/>
      <c r="AE111" s="65" t="n"/>
      <c r="AF111" s="65" t="n"/>
      <c r="AG111" s="65" t="n"/>
      <c r="AH111" s="65" t="n"/>
      <c r="AI111" s="65" t="n"/>
      <c r="AJ111" s="65" t="n"/>
      <c r="AK111" s="65" t="n"/>
      <c r="AL111" s="65" t="n"/>
      <c r="AM111" s="65" t="n"/>
      <c r="AN111" s="65" t="n"/>
      <c r="AO111" s="65" t="n"/>
      <c r="AP111" s="65" t="n"/>
      <c r="AQ111" s="65" t="n"/>
      <c r="AR111" s="59" t="inlineStr">
        <is>
          <t>x</t>
        </is>
      </c>
      <c r="AS111" s="58" t="n"/>
      <c r="AT111" s="59" t="inlineStr">
        <is>
          <t>x</t>
        </is>
      </c>
      <c r="AU111" s="59" t="n"/>
      <c r="AV111" s="58" t="n"/>
      <c r="AW111" s="59" t="inlineStr">
        <is>
          <t>x</t>
        </is>
      </c>
      <c r="AX111" s="58" t="n"/>
      <c r="AY111" s="59" t="n"/>
      <c r="AZ111" s="58" t="n"/>
      <c r="BA111" s="59" t="inlineStr">
        <is>
          <t>x</t>
        </is>
      </c>
      <c r="BB111" s="58" t="n"/>
      <c r="BC111" s="59" t="n"/>
      <c r="BD111" s="58" t="n"/>
      <c r="BE111" s="59" t="n"/>
      <c r="BF111" s="58" t="n"/>
      <c r="BG111" s="59" t="n"/>
      <c r="BH111" s="58" t="n"/>
      <c r="BI111" s="59" t="n"/>
      <c r="BJ111" s="59" t="n"/>
      <c r="BK111" s="59" t="n"/>
      <c r="BL111" s="59" t="n"/>
      <c r="BM111" s="59" t="inlineStr">
        <is>
          <t>x</t>
        </is>
      </c>
      <c r="BN111" s="58" t="n"/>
      <c r="BO111" s="59" t="n"/>
      <c r="BP111" s="58" t="n"/>
      <c r="BQ111" s="59" t="inlineStr">
        <is>
          <t>x</t>
        </is>
      </c>
      <c r="BR111" s="58" t="n"/>
      <c r="BS111" s="59" t="n"/>
      <c r="BT111" s="58" t="n"/>
      <c r="BU111" s="59" t="inlineStr">
        <is>
          <t>x</t>
        </is>
      </c>
      <c r="BV111" s="58" t="n"/>
      <c r="BW111" s="59" t="n"/>
      <c r="BX111" s="58" t="n"/>
      <c r="BY111" s="59" t="n"/>
      <c r="BZ111" s="58" t="n"/>
      <c r="CA111" s="59" t="n"/>
      <c r="CB111" s="58" t="n"/>
      <c r="EU111" s="30" t="n"/>
      <c r="EV111" s="30" t="n"/>
      <c r="EW111" s="30" t="n"/>
    </row>
    <row r="112" ht="15" customHeight="1">
      <c r="A112" s="55" t="inlineStr">
        <is>
          <t>El sistema muestra de manera informativa las cuentas de ahorros vigentes en pantalla</t>
        </is>
      </c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  <c r="AA112" s="65" t="n"/>
      <c r="AB112" s="65" t="n"/>
      <c r="AC112" s="65" t="n"/>
      <c r="AD112" s="65" t="n"/>
      <c r="AE112" s="65" t="n"/>
      <c r="AF112" s="65" t="n"/>
      <c r="AG112" s="65" t="n"/>
      <c r="AH112" s="65" t="n"/>
      <c r="AI112" s="65" t="n"/>
      <c r="AJ112" s="65" t="n"/>
      <c r="AK112" s="65" t="n"/>
      <c r="AL112" s="65" t="n"/>
      <c r="AM112" s="65" t="n"/>
      <c r="AN112" s="65" t="n"/>
      <c r="AO112" s="65" t="n"/>
      <c r="AP112" s="65" t="n"/>
      <c r="AQ112" s="65" t="n"/>
      <c r="AR112" s="59" t="inlineStr">
        <is>
          <t>x</t>
        </is>
      </c>
      <c r="AS112" s="59" t="n"/>
      <c r="AT112" s="59" t="inlineStr">
        <is>
          <t>x</t>
        </is>
      </c>
      <c r="AU112" s="59" t="n"/>
      <c r="AV112" s="59" t="n"/>
      <c r="AW112" s="59" t="inlineStr">
        <is>
          <t>x</t>
        </is>
      </c>
      <c r="AX112" s="59" t="n"/>
      <c r="AY112" s="59" t="n"/>
      <c r="AZ112" s="59" t="n"/>
      <c r="BA112" s="59" t="inlineStr">
        <is>
          <t>x</t>
        </is>
      </c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inlineStr">
        <is>
          <t>x</t>
        </is>
      </c>
      <c r="BN112" s="59" t="n"/>
      <c r="BO112" s="59" t="n"/>
      <c r="BP112" s="59" t="n"/>
      <c r="BQ112" s="59" t="inlineStr">
        <is>
          <t>x</t>
        </is>
      </c>
      <c r="BR112" s="59" t="n"/>
      <c r="BS112" s="59" t="n"/>
      <c r="BT112" s="59" t="n"/>
      <c r="BU112" s="59" t="inlineStr">
        <is>
          <t>x</t>
        </is>
      </c>
      <c r="BV112" s="59" t="n"/>
      <c r="BW112" s="59" t="n"/>
      <c r="BX112" s="59" t="n"/>
      <c r="BY112" s="59" t="n"/>
      <c r="BZ112" s="59" t="n"/>
      <c r="CA112" s="59" t="n"/>
      <c r="CB112" s="59" t="n"/>
      <c r="EU112" s="30" t="n"/>
      <c r="EV112" s="30" t="n"/>
      <c r="EW112" s="30" t="n"/>
    </row>
    <row r="113" ht="15" customHeight="1">
      <c r="A113" s="63" t="inlineStr">
        <is>
          <t>El sistema no muestra los nombres y apellidos del cliente</t>
        </is>
      </c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59" t="n"/>
      <c r="AS113" s="59" t="inlineStr">
        <is>
          <t>x</t>
        </is>
      </c>
      <c r="AT113" s="59" t="n"/>
      <c r="AU113" s="59" t="n"/>
      <c r="AV113" s="59" t="n"/>
      <c r="AW113" s="59" t="n"/>
      <c r="AX113" s="59" t="inlineStr">
        <is>
          <t>x</t>
        </is>
      </c>
      <c r="AY113" s="59" t="inlineStr">
        <is>
          <t>x</t>
        </is>
      </c>
      <c r="AZ113" s="59" t="n"/>
      <c r="BA113" s="59" t="n"/>
      <c r="BB113" s="59" t="inlineStr">
        <is>
          <t>x</t>
        </is>
      </c>
      <c r="BC113" s="59" t="inlineStr">
        <is>
          <t>x</t>
        </is>
      </c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inlineStr">
        <is>
          <t>x</t>
        </is>
      </c>
      <c r="BO113" s="59" t="inlineStr">
        <is>
          <t>x</t>
        </is>
      </c>
      <c r="BP113" s="59" t="n"/>
      <c r="BQ113" s="59" t="n"/>
      <c r="BR113" s="59" t="inlineStr">
        <is>
          <t>x</t>
        </is>
      </c>
      <c r="BS113" s="59" t="inlineStr">
        <is>
          <t>x</t>
        </is>
      </c>
      <c r="BT113" s="59" t="n"/>
      <c r="BU113" s="59" t="n"/>
      <c r="BV113" s="59" t="inlineStr">
        <is>
          <t>x</t>
        </is>
      </c>
      <c r="BW113" s="59" t="inlineStr">
        <is>
          <t>x</t>
        </is>
      </c>
      <c r="BX113" s="59" t="n"/>
      <c r="BY113" s="59" t="n"/>
      <c r="BZ113" s="59" t="n"/>
      <c r="CA113" s="59" t="n"/>
      <c r="CB113" s="59" t="n"/>
      <c r="EU113" s="30" t="n"/>
      <c r="EV113" s="30" t="n"/>
      <c r="EW113" s="30" t="n"/>
    </row>
    <row r="114" ht="15" customHeight="1">
      <c r="A114" s="63" t="inlineStr">
        <is>
          <t>El sistema no muestra los campos nombres, apellidos y cuentas en blanco</t>
        </is>
      </c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59" t="n"/>
      <c r="AS114" s="59" t="n"/>
      <c r="AT114" s="59" t="n"/>
      <c r="AU114" s="59" t="n"/>
      <c r="AV114" s="59" t="inlineStr">
        <is>
          <t>x</t>
        </is>
      </c>
      <c r="AW114" s="59" t="n"/>
      <c r="AX114" s="59" t="n"/>
      <c r="AY114" s="59" t="n"/>
      <c r="AZ114" s="59" t="inlineStr">
        <is>
          <t>x</t>
        </is>
      </c>
      <c r="BA114" s="59" t="n"/>
      <c r="BB114" s="59" t="n"/>
      <c r="BC114" s="59" t="n"/>
      <c r="BD114" s="59" t="inlineStr">
        <is>
          <t>x</t>
        </is>
      </c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inlineStr">
        <is>
          <t>x</t>
        </is>
      </c>
      <c r="BQ114" s="59" t="n"/>
      <c r="BR114" s="59" t="n"/>
      <c r="BS114" s="59" t="n"/>
      <c r="BT114" s="59" t="inlineStr">
        <is>
          <t>x</t>
        </is>
      </c>
      <c r="BU114" s="59" t="n"/>
      <c r="BV114" s="59" t="n"/>
      <c r="BW114" s="59" t="n"/>
      <c r="BX114" s="59" t="inlineStr">
        <is>
          <t>x</t>
        </is>
      </c>
      <c r="BY114" s="59" t="n"/>
      <c r="BZ114" s="59" t="n"/>
      <c r="CA114" s="59" t="n"/>
      <c r="CB114" s="59" t="n"/>
      <c r="EU114" s="30" t="n"/>
      <c r="EV114" s="30" t="n"/>
      <c r="EW114" s="30" t="n"/>
    </row>
    <row r="115" ht="15" customFormat="1" customHeight="1" s="30">
      <c r="A115" s="63" t="inlineStr">
        <is>
          <t>El sistema no muestra de manera informativa las cuentas de ahorros vigentes en pantalla</t>
        </is>
      </c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  <c r="BV115" s="59" t="n"/>
      <c r="BW115" s="59" t="n"/>
      <c r="BX115" s="59" t="n"/>
      <c r="BY115" s="59" t="n"/>
      <c r="BZ115" s="59" t="n"/>
      <c r="CA115" s="59" t="n"/>
      <c r="CB115" s="59" t="n"/>
    </row>
    <row r="116" ht="15" customFormat="1" customHeight="1" s="30">
      <c r="A116" s="63" t="inlineStr">
        <is>
          <t>El sistema genera el siguiente mensaje bloqueante “El PIN ingresado ya ha sido cancelado, validar”</t>
        </is>
      </c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70" t="inlineStr">
        <is>
          <t>x</t>
        </is>
      </c>
      <c r="N116" s="70" t="inlineStr">
        <is>
          <t>x</t>
        </is>
      </c>
      <c r="O116" s="70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59" t="n"/>
      <c r="AS116" s="59" t="inlineStr">
        <is>
          <t>x</t>
        </is>
      </c>
      <c r="AT116" s="59" t="n"/>
      <c r="AU116" s="59" t="n"/>
      <c r="AV116" s="59" t="n"/>
      <c r="AW116" s="59" t="n"/>
      <c r="AX116" s="59" t="inlineStr">
        <is>
          <t>x</t>
        </is>
      </c>
      <c r="AY116" s="59" t="n"/>
      <c r="AZ116" s="59" t="n"/>
      <c r="BA116" s="59" t="n"/>
      <c r="BB116" s="59" t="inlineStr">
        <is>
          <t>x</t>
        </is>
      </c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  <c r="BV116" s="59" t="n"/>
      <c r="BW116" s="59" t="n"/>
      <c r="BX116" s="59" t="n"/>
      <c r="BY116" s="59" t="n"/>
      <c r="BZ116" s="59" t="n"/>
      <c r="CA116" s="59" t="n"/>
      <c r="CB116" s="59" t="n"/>
    </row>
    <row r="117" ht="15" customFormat="1" customHeight="1" s="30">
      <c r="A117" s="63" t="inlineStr">
        <is>
          <t>El sistema genera el siguiente mensaje bloqueante “Monto no permitido”</t>
        </is>
      </c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9" t="inlineStr">
        <is>
          <t>x</t>
        </is>
      </c>
      <c r="N117" s="69" t="inlineStr">
        <is>
          <t>x</t>
        </is>
      </c>
      <c r="O117" s="70" t="inlineStr">
        <is>
          <t>x</t>
        </is>
      </c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  <c r="BV117" s="59" t="n"/>
      <c r="BW117" s="59" t="n"/>
      <c r="BX117" s="59" t="n"/>
      <c r="BY117" s="59" t="n"/>
      <c r="BZ117" s="59" t="n"/>
      <c r="CA117" s="59" t="n"/>
      <c r="CB117" s="59" t="n"/>
    </row>
    <row r="118" ht="15" customFormat="1" customHeight="1" s="30">
      <c r="A118" s="55" t="inlineStr">
        <is>
          <t>El sistema permite continuar con la ejecución</t>
        </is>
      </c>
      <c r="B118" s="68" t="inlineStr">
        <is>
          <t>x</t>
        </is>
      </c>
      <c r="C118" s="68" t="inlineStr">
        <is>
          <t>x</t>
        </is>
      </c>
      <c r="D118" s="68" t="n"/>
      <c r="E118" s="68" t="n"/>
      <c r="F118" s="68" t="n"/>
      <c r="G118" s="68" t="inlineStr">
        <is>
          <t>x</t>
        </is>
      </c>
      <c r="H118" s="68" t="inlineStr">
        <is>
          <t>x</t>
        </is>
      </c>
      <c r="I118" s="68" t="inlineStr">
        <is>
          <t>x</t>
        </is>
      </c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  <c r="AA118" s="65" t="n"/>
      <c r="AB118" s="65" t="n"/>
      <c r="AC118" s="65" t="n"/>
      <c r="AD118" s="65" t="n"/>
      <c r="AE118" s="65" t="n"/>
      <c r="AF118" s="65" t="n"/>
      <c r="AG118" s="65" t="n"/>
      <c r="AH118" s="65" t="n"/>
      <c r="AI118" s="65" t="n"/>
      <c r="AJ118" s="65" t="n"/>
      <c r="AK118" s="65" t="n"/>
      <c r="AL118" s="65" t="n"/>
      <c r="AM118" s="65" t="n"/>
      <c r="AN118" s="65" t="n"/>
      <c r="AO118" s="65" t="n"/>
      <c r="AP118" s="65" t="n"/>
      <c r="AQ118" s="65" t="n"/>
      <c r="AR118" s="59" t="inlineStr">
        <is>
          <t>x</t>
        </is>
      </c>
      <c r="AS118" s="59" t="n"/>
      <c r="AT118" s="59" t="inlineStr">
        <is>
          <t>x</t>
        </is>
      </c>
      <c r="AU118" s="59" t="n"/>
      <c r="AV118" s="59" t="n"/>
      <c r="AW118" s="59" t="inlineStr">
        <is>
          <t>x</t>
        </is>
      </c>
      <c r="AX118" s="59" t="n"/>
      <c r="AY118" s="59" t="n"/>
      <c r="AZ118" s="59" t="n"/>
      <c r="BA118" s="59" t="inlineStr">
        <is>
          <t>x</t>
        </is>
      </c>
      <c r="BB118" s="59" t="n"/>
      <c r="BC118" s="59" t="n"/>
      <c r="BD118" s="59" t="n"/>
      <c r="BE118" s="59" t="inlineStr">
        <is>
          <t>x</t>
        </is>
      </c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  <c r="BV118" s="59" t="n"/>
      <c r="BW118" s="59" t="n"/>
      <c r="BX118" s="59" t="n"/>
      <c r="BY118" s="59" t="inlineStr">
        <is>
          <t>x</t>
        </is>
      </c>
      <c r="BZ118" s="59" t="n"/>
      <c r="CA118" s="59" t="n"/>
      <c r="CB118" s="59" t="n"/>
    </row>
    <row r="119" ht="15" customFormat="1" customHeight="1" s="30">
      <c r="A119" s="55" t="inlineStr">
        <is>
          <t>El sistema permite generar 2 Cut en 1/4 de hoja carta. Uno se entregará al cliente y otro se quedará para BMM.</t>
        </is>
      </c>
      <c r="B119" s="68" t="inlineStr">
        <is>
          <t>x</t>
        </is>
      </c>
      <c r="C119" s="68" t="inlineStr">
        <is>
          <t>x</t>
        </is>
      </c>
      <c r="D119" s="68" t="n"/>
      <c r="E119" s="68" t="n"/>
      <c r="F119" s="68" t="n"/>
      <c r="G119" s="68" t="inlineStr">
        <is>
          <t>x</t>
        </is>
      </c>
      <c r="H119" s="68" t="inlineStr">
        <is>
          <t>x</t>
        </is>
      </c>
      <c r="I119" s="68" t="inlineStr">
        <is>
          <t>x</t>
        </is>
      </c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  <c r="AA119" s="65" t="n"/>
      <c r="AB119" s="65" t="n"/>
      <c r="AC119" s="65" t="n"/>
      <c r="AD119" s="65" t="n"/>
      <c r="AE119" s="65" t="n"/>
      <c r="AF119" s="65" t="n"/>
      <c r="AG119" s="65" t="n"/>
      <c r="AH119" s="65" t="n"/>
      <c r="AI119" s="65" t="n"/>
      <c r="AJ119" s="65" t="n"/>
      <c r="AK119" s="65" t="n"/>
      <c r="AL119" s="65" t="n"/>
      <c r="AM119" s="65" t="n"/>
      <c r="AN119" s="65" t="n"/>
      <c r="AO119" s="65" t="n"/>
      <c r="AP119" s="65" t="n"/>
      <c r="AQ119" s="65" t="n"/>
      <c r="AR119" s="59" t="inlineStr">
        <is>
          <t>x</t>
        </is>
      </c>
      <c r="AS119" s="59" t="n"/>
      <c r="AT119" s="59" t="inlineStr">
        <is>
          <t>x</t>
        </is>
      </c>
      <c r="AU119" s="59" t="n"/>
      <c r="AV119" s="59" t="n"/>
      <c r="AW119" s="59" t="inlineStr">
        <is>
          <t>x</t>
        </is>
      </c>
      <c r="AX119" s="59" t="n"/>
      <c r="AY119" s="59" t="n"/>
      <c r="AZ119" s="59" t="n"/>
      <c r="BA119" s="59" t="inlineStr">
        <is>
          <t>x</t>
        </is>
      </c>
      <c r="BB119" s="59" t="n"/>
      <c r="BC119" s="59" t="n"/>
      <c r="BD119" s="59" t="n"/>
      <c r="BE119" s="59" t="inlineStr">
        <is>
          <t>x</t>
        </is>
      </c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  <c r="BV119" s="59" t="n"/>
      <c r="BW119" s="59" t="n"/>
      <c r="BX119" s="59" t="n"/>
      <c r="BY119" s="59" t="inlineStr">
        <is>
          <t>x</t>
        </is>
      </c>
      <c r="BZ119" s="59" t="n"/>
      <c r="CA119" s="59" t="n"/>
      <c r="CB119" s="59" t="n"/>
    </row>
    <row r="120" ht="27.6" customFormat="1" customHeight="1" s="30">
      <c r="A120" s="55" t="inlineStr">
        <is>
          <t>El sistema debita el dinero del rubro 16909503220, para acreditarse al rubro 21080501010, según el tipo de pago seleccionado por el usuario/cliente (cuenta de ahorros).</t>
        </is>
      </c>
      <c r="B120" s="68" t="inlineStr">
        <is>
          <t>x</t>
        </is>
      </c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  <c r="AA120" s="65" t="n"/>
      <c r="AB120" s="65" t="n"/>
      <c r="AC120" s="65" t="n"/>
      <c r="AD120" s="65" t="n"/>
      <c r="AE120" s="65" t="n"/>
      <c r="AF120" s="65" t="n"/>
      <c r="AG120" s="65" t="n"/>
      <c r="AH120" s="65" t="n"/>
      <c r="AI120" s="65" t="n"/>
      <c r="AJ120" s="65" t="n"/>
      <c r="AK120" s="65" t="n"/>
      <c r="AL120" s="65" t="n"/>
      <c r="AM120" s="65" t="n"/>
      <c r="AN120" s="65" t="n"/>
      <c r="AO120" s="65" t="n"/>
      <c r="AP120" s="65" t="n"/>
      <c r="AQ120" s="65" t="n"/>
      <c r="AR120" s="59" t="inlineStr">
        <is>
          <t>x</t>
        </is>
      </c>
      <c r="AS120" s="59" t="n"/>
      <c r="AT120" s="59" t="inlineStr">
        <is>
          <t>x</t>
        </is>
      </c>
      <c r="AU120" s="59" t="n"/>
      <c r="AV120" s="59" t="n"/>
      <c r="AW120" s="59" t="inlineStr">
        <is>
          <t>x</t>
        </is>
      </c>
      <c r="AX120" s="59" t="n"/>
      <c r="AY120" s="59" t="n"/>
      <c r="AZ120" s="59" t="n"/>
      <c r="BA120" s="59" t="inlineStr">
        <is>
          <t>x</t>
        </is>
      </c>
      <c r="BB120" s="59" t="n"/>
      <c r="BC120" s="59" t="n"/>
      <c r="BD120" s="59" t="n"/>
      <c r="BE120" s="59" t="inlineStr">
        <is>
          <t>x</t>
        </is>
      </c>
      <c r="BF120" s="59" t="n"/>
      <c r="BG120" s="59" t="n"/>
      <c r="BH120" s="59" t="n"/>
      <c r="BI120" s="59" t="inlineStr">
        <is>
          <t>x</t>
        </is>
      </c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  <c r="BV120" s="59" t="n"/>
      <c r="BW120" s="59" t="n"/>
      <c r="BX120" s="59" t="n"/>
      <c r="BY120" s="59" t="inlineStr">
        <is>
          <t>x</t>
        </is>
      </c>
      <c r="BZ120" s="59" t="n"/>
      <c r="CA120" s="59" t="n"/>
      <c r="CB120" s="59" t="n"/>
    </row>
    <row r="121" ht="27.6" customFormat="1" customHeight="1" s="30">
      <c r="A121" s="55" t="inlineStr">
        <is>
          <t>El sistema debita el dinero del rubro 16909503220, para acreditarse al rubro 11150503010, según el tipo de pago seleccionado por el usuario/cliente (efectivo).</t>
        </is>
      </c>
      <c r="B121" s="68" t="n"/>
      <c r="C121" s="68" t="inlineStr">
        <is>
          <t>x</t>
        </is>
      </c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  <c r="AA121" s="65" t="n"/>
      <c r="AB121" s="65" t="n"/>
      <c r="AC121" s="65" t="n"/>
      <c r="AD121" s="65" t="n"/>
      <c r="AE121" s="65" t="n"/>
      <c r="AF121" s="65" t="n"/>
      <c r="AG121" s="65" t="n"/>
      <c r="AH121" s="65" t="n"/>
      <c r="AI121" s="65" t="n"/>
      <c r="AJ121" s="65" t="n"/>
      <c r="AK121" s="65" t="n"/>
      <c r="AL121" s="65" t="n"/>
      <c r="AM121" s="65" t="n"/>
      <c r="AN121" s="65" t="n"/>
      <c r="AO121" s="65" t="n"/>
      <c r="AP121" s="65" t="n"/>
      <c r="AQ121" s="65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inlineStr">
        <is>
          <t>x</t>
        </is>
      </c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  <c r="BV121" s="59" t="n"/>
      <c r="BW121" s="59" t="n"/>
      <c r="BX121" s="59" t="n"/>
      <c r="BY121" s="59" t="n"/>
      <c r="BZ121" s="59" t="n"/>
      <c r="CA121" s="59" t="n"/>
      <c r="CB121" s="59" t="n"/>
    </row>
    <row r="122" ht="27.6" customFormat="1" customHeight="1" s="30">
      <c r="A122" s="55" t="inlineStr">
        <is>
          <t>El sistema debita el dinero del rubro 16909503220, para acreditarse al rubro 11050501010 según el tipo de pago seleccionado por el usuario/cliente (cheque).</t>
        </is>
      </c>
      <c r="B122" s="65" t="n"/>
      <c r="C122" s="65" t="n"/>
      <c r="D122" s="65" t="n"/>
      <c r="E122" s="65" t="n"/>
      <c r="F122" s="65" t="n"/>
      <c r="G122" s="68" t="inlineStr">
        <is>
          <t>x</t>
        </is>
      </c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  <c r="AA122" s="65" t="n"/>
      <c r="AB122" s="65" t="n"/>
      <c r="AC122" s="65" t="n"/>
      <c r="AD122" s="65" t="n"/>
      <c r="AE122" s="65" t="n"/>
      <c r="AF122" s="65" t="n"/>
      <c r="AG122" s="65" t="n"/>
      <c r="AH122" s="65" t="n"/>
      <c r="AI122" s="65" t="n"/>
      <c r="AJ122" s="65" t="n"/>
      <c r="AK122" s="65" t="n"/>
      <c r="AL122" s="65" t="n"/>
      <c r="AM122" s="65" t="n"/>
      <c r="AN122" s="65" t="n"/>
      <c r="AO122" s="65" t="n"/>
      <c r="AP122" s="65" t="n"/>
      <c r="AQ122" s="65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inlineStr">
        <is>
          <t>x</t>
        </is>
      </c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  <c r="BV122" s="59" t="n"/>
      <c r="BW122" s="59" t="n"/>
      <c r="BX122" s="59" t="n"/>
      <c r="BY122" s="59" t="n"/>
      <c r="BZ122" s="59" t="n"/>
      <c r="CA122" s="59" t="n"/>
      <c r="CB122" s="59" t="n"/>
    </row>
    <row r="123" ht="27.6" customFormat="1" customHeight="1" s="30">
      <c r="A123" s="55" t="inlineStr">
        <is>
          <t xml:space="preserve">El sistema debita el dinero del rubro 16909503220, para acreditarse al rubro 21080501010, 11150503010 o 11050501010 según el tipo de pago seleccionado por el usuario/cliente (mixto). </t>
        </is>
      </c>
      <c r="B123" s="65" t="n"/>
      <c r="C123" s="65" t="n"/>
      <c r="D123" s="65" t="n"/>
      <c r="E123" s="65" t="n"/>
      <c r="F123" s="65" t="n"/>
      <c r="G123" s="65" t="n"/>
      <c r="H123" s="68" t="inlineStr">
        <is>
          <t>x</t>
        </is>
      </c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  <c r="AA123" s="65" t="n"/>
      <c r="AB123" s="65" t="n"/>
      <c r="AC123" s="65" t="n"/>
      <c r="AD123" s="65" t="n"/>
      <c r="AE123" s="65" t="n"/>
      <c r="AF123" s="65" t="n"/>
      <c r="AG123" s="65" t="n"/>
      <c r="AH123" s="65" t="n"/>
      <c r="AI123" s="65" t="n"/>
      <c r="AJ123" s="65" t="n"/>
      <c r="AK123" s="65" t="n"/>
      <c r="AL123" s="65" t="n"/>
      <c r="AM123" s="65" t="n"/>
      <c r="AN123" s="65" t="n"/>
      <c r="AO123" s="65" t="n"/>
      <c r="AP123" s="65" t="n"/>
      <c r="AQ123" s="65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inlineStr">
        <is>
          <t>x</t>
        </is>
      </c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  <c r="BV123" s="59" t="n"/>
      <c r="BW123" s="59" t="n"/>
      <c r="BX123" s="59" t="n"/>
      <c r="BY123" s="59" t="n"/>
      <c r="BZ123" s="59" t="n"/>
      <c r="CA123" s="59" t="n"/>
      <c r="CB123" s="59" t="n"/>
    </row>
    <row r="124" ht="15" customFormat="1" customHeight="1" s="30">
      <c r="A124" s="63" t="inlineStr">
        <is>
          <t>El sistema no permite continuar con la ejecución</t>
        </is>
      </c>
      <c r="B124" s="66" t="n"/>
      <c r="C124" s="66" t="n"/>
      <c r="D124" s="70" t="inlineStr">
        <is>
          <t>x</t>
        </is>
      </c>
      <c r="E124" s="70" t="inlineStr">
        <is>
          <t>x</t>
        </is>
      </c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70" t="inlineStr">
        <is>
          <t>x</t>
        </is>
      </c>
      <c r="P124" s="70" t="inlineStr">
        <is>
          <t>x</t>
        </is>
      </c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59" t="n"/>
      <c r="AS124" s="59" t="n"/>
      <c r="AT124" s="59" t="n"/>
      <c r="AU124" s="59" t="n"/>
      <c r="AV124" s="59" t="inlineStr">
        <is>
          <t>x</t>
        </is>
      </c>
      <c r="AW124" s="59" t="n"/>
      <c r="AX124" s="59" t="n"/>
      <c r="AY124" s="59" t="n"/>
      <c r="AZ124" s="59" t="inlineStr">
        <is>
          <t>x</t>
        </is>
      </c>
      <c r="BA124" s="59" t="n"/>
      <c r="BB124" s="59" t="n"/>
      <c r="BC124" s="59" t="n"/>
      <c r="BD124" s="59" t="inlineStr">
        <is>
          <t>x</t>
        </is>
      </c>
      <c r="BE124" s="59" t="n"/>
      <c r="BF124" s="59" t="inlineStr">
        <is>
          <t>x</t>
        </is>
      </c>
      <c r="BG124" s="59" t="inlineStr">
        <is>
          <t>x</t>
        </is>
      </c>
      <c r="BH124" s="59" t="inlineStr">
        <is>
          <t>x</t>
        </is>
      </c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  <c r="BV124" s="59" t="n"/>
      <c r="BW124" s="59" t="n"/>
      <c r="BX124" s="59" t="n"/>
      <c r="BY124" s="59" t="n"/>
      <c r="BZ124" s="59" t="inlineStr">
        <is>
          <t>x</t>
        </is>
      </c>
      <c r="CA124" s="59" t="inlineStr">
        <is>
          <t>x</t>
        </is>
      </c>
      <c r="CB124" s="59" t="inlineStr">
        <is>
          <t>x</t>
        </is>
      </c>
    </row>
    <row r="125" ht="15" customFormat="1" customHeight="1" s="30">
      <c r="A125" s="55" t="inlineStr">
        <is>
          <t>El sistema muestra el panel de Seleccionar Titular/Beneficiario</t>
        </is>
      </c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8" t="inlineStr">
        <is>
          <t>x</t>
        </is>
      </c>
      <c r="K125" s="65" t="n"/>
      <c r="L125" s="65" t="n"/>
    </row>
    <row r="126" ht="15" customFormat="1" customHeight="1" s="30">
      <c r="A126" s="55" t="inlineStr">
        <is>
          <t>El sistema muestra el detalle del Asiento</t>
        </is>
      </c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8" t="inlineStr">
        <is>
          <t>x</t>
        </is>
      </c>
      <c r="L126" s="65" t="n"/>
    </row>
    <row r="127" ht="15" customFormat="1" customHeight="1" s="30">
      <c r="A127" s="55" t="inlineStr">
        <is>
          <t>El sistema muestra el panel de Operaciones de Caja</t>
        </is>
      </c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8" t="inlineStr">
        <is>
          <t>x</t>
        </is>
      </c>
    </row>
    <row r="128" customFormat="1" s="30"/>
    <row r="129" customFormat="1" s="30"/>
    <row r="130" customFormat="1" s="30"/>
    <row r="131" customFormat="1" s="30"/>
    <row r="132" customFormat="1" s="30"/>
    <row r="133" customFormat="1" s="30"/>
    <row r="134" customFormat="1" s="30"/>
    <row r="135" customFormat="1" s="30"/>
    <row r="136" customFormat="1" s="30"/>
    <row r="137" customFormat="1" s="30"/>
    <row r="138" customFormat="1" s="30"/>
    <row r="139" customFormat="1" s="30"/>
    <row r="140" customFormat="1" s="30"/>
    <row r="141" customFormat="1" s="30"/>
    <row r="142" customFormat="1" s="30"/>
    <row r="143" customFormat="1" s="30"/>
    <row r="144" customFormat="1" s="30"/>
    <row r="145" customFormat="1" s="30"/>
    <row r="146" customFormat="1" s="30"/>
    <row r="147" customFormat="1" s="30"/>
    <row r="148" customFormat="1" s="30"/>
    <row r="149" customFormat="1" s="30"/>
    <row r="150" customFormat="1" s="30"/>
    <row r="151" customFormat="1" s="30"/>
    <row r="152" customFormat="1" s="30"/>
    <row r="153" customFormat="1" s="30"/>
    <row r="154" customFormat="1" s="30"/>
    <row r="155" customFormat="1" s="30"/>
    <row r="156" customFormat="1" s="30"/>
    <row r="157" customFormat="1" s="30"/>
    <row r="158" customFormat="1" s="30"/>
    <row r="159" customFormat="1" s="30"/>
    <row r="160" customFormat="1" s="30"/>
    <row r="161" customFormat="1" s="30"/>
    <row r="162" customFormat="1" s="30"/>
    <row r="163" customFormat="1" s="30"/>
    <row r="164" customFormat="1" s="30"/>
    <row r="165" customFormat="1" s="30"/>
    <row r="166" customFormat="1" s="30"/>
    <row r="167" customFormat="1" s="30"/>
    <row r="168" customFormat="1" s="30"/>
    <row r="169" customFormat="1" s="30"/>
    <row r="170" customFormat="1" s="30"/>
    <row r="171" customFormat="1" s="30"/>
    <row r="172" customFormat="1" s="30"/>
    <row r="173" customFormat="1" s="30"/>
    <row r="174" customFormat="1" s="30"/>
    <row r="175" customFormat="1" s="30"/>
    <row r="176" customFormat="1" s="30"/>
    <row r="177" customFormat="1" s="30"/>
    <row r="178" customFormat="1" s="30"/>
    <row r="179" customFormat="1" s="30"/>
    <row r="180" customFormat="1" s="30"/>
    <row r="181" customFormat="1" s="30"/>
    <row r="182" customFormat="1" s="30"/>
    <row r="183" customFormat="1" s="30"/>
    <row r="184" customFormat="1" s="30"/>
    <row r="185" customFormat="1" s="30"/>
    <row r="186" customFormat="1" s="30"/>
    <row r="187" customFormat="1" s="30"/>
    <row r="188" customFormat="1" s="30"/>
    <row r="189" customFormat="1" s="30"/>
    <row r="190" customFormat="1" s="30"/>
    <row r="191" customFormat="1" s="30"/>
    <row r="192" customFormat="1" s="30"/>
    <row r="193" customFormat="1" s="30"/>
    <row r="194" customFormat="1" s="30"/>
    <row r="195" customFormat="1" s="30"/>
    <row r="196" customFormat="1" s="30"/>
    <row r="197" customFormat="1" s="30"/>
    <row r="198" customFormat="1" s="30"/>
    <row r="199" customFormat="1" s="30"/>
    <row r="200" customFormat="1" s="30"/>
    <row r="201" customFormat="1" s="30"/>
    <row r="202" customFormat="1" s="30"/>
    <row r="203" customFormat="1" s="30"/>
    <row r="204" customFormat="1" s="30"/>
    <row r="205" customFormat="1" s="30"/>
    <row r="206" customFormat="1" s="30"/>
    <row r="207" customFormat="1" s="30"/>
    <row r="208" customFormat="1" s="30"/>
    <row r="209" customFormat="1" s="30"/>
    <row r="210" customFormat="1" s="30"/>
    <row r="211" customFormat="1" s="30"/>
    <row r="212" customFormat="1" s="30"/>
    <row r="213" customFormat="1" s="30"/>
    <row r="214" customFormat="1" s="30"/>
    <row r="215" customFormat="1" s="30"/>
    <row r="216" customFormat="1" s="30"/>
    <row r="217" customFormat="1" s="30"/>
    <row r="218" customFormat="1" s="30"/>
    <row r="219" customFormat="1" s="30"/>
    <row r="220" customFormat="1" s="30"/>
    <row r="221" customFormat="1" s="30"/>
    <row r="222" customFormat="1" s="30"/>
    <row r="223" customFormat="1" s="30"/>
    <row r="224" customFormat="1" s="30"/>
    <row r="225" customFormat="1" s="30"/>
    <row r="226" customFormat="1" s="30"/>
    <row r="227" customFormat="1" s="30"/>
    <row r="228" customFormat="1" s="30"/>
    <row r="229" customFormat="1" s="30"/>
    <row r="230" customFormat="1" s="30"/>
    <row r="231" customFormat="1" s="30"/>
    <row r="232" customFormat="1" s="30"/>
    <row r="233" customFormat="1" s="30"/>
    <row r="234" customFormat="1" s="30"/>
    <row r="235" customFormat="1" s="30"/>
    <row r="236" customFormat="1" s="30"/>
    <row r="237" customFormat="1" s="30"/>
    <row r="238" customFormat="1" s="30"/>
    <row r="239" customFormat="1" s="30"/>
    <row r="240" customFormat="1" s="30"/>
    <row r="241" customFormat="1" s="30"/>
    <row r="242" customFormat="1" s="30"/>
    <row r="243" customFormat="1" s="30"/>
    <row r="244" customFormat="1" s="30"/>
    <row r="245" customFormat="1" s="30"/>
    <row r="246" customFormat="1" s="30"/>
    <row r="247" customFormat="1" s="30"/>
    <row r="248" customFormat="1" s="30"/>
    <row r="249" customFormat="1" s="30"/>
    <row r="250" customFormat="1" s="30"/>
    <row r="251" customFormat="1" s="30"/>
    <row r="252" customFormat="1" s="30"/>
    <row r="253" customFormat="1" s="30"/>
    <row r="254" customFormat="1" s="30"/>
    <row r="255" customFormat="1" s="30"/>
    <row r="256" customFormat="1" s="30"/>
    <row r="257" customFormat="1" s="30"/>
    <row r="258" customFormat="1" s="30"/>
    <row r="259" customFormat="1" s="30"/>
    <row r="260" customFormat="1" s="30"/>
    <row r="261" customFormat="1" s="30"/>
    <row r="262" customFormat="1" s="30"/>
    <row r="263" customFormat="1" s="30"/>
    <row r="264" customFormat="1" s="30"/>
    <row r="265" customFormat="1" s="30"/>
    <row r="266" customFormat="1" s="30"/>
    <row r="267" customFormat="1" s="30"/>
    <row r="268" customFormat="1" s="30"/>
    <row r="269" customFormat="1" s="30"/>
    <row r="270" customFormat="1" s="30"/>
    <row r="271" customFormat="1" s="30"/>
    <row r="272" customFormat="1" s="30"/>
    <row r="273" customFormat="1" s="30"/>
    <row r="274" customFormat="1" s="30"/>
    <row r="275" customFormat="1" s="30"/>
    <row r="276" customFormat="1" s="30"/>
    <row r="277" customFormat="1" s="30"/>
    <row r="278" customFormat="1" s="30"/>
    <row r="279" customFormat="1" s="30"/>
    <row r="280" customFormat="1" s="30"/>
    <row r="281" customFormat="1" s="30"/>
    <row r="282" customFormat="1" s="30"/>
    <row r="283" customFormat="1" s="30"/>
    <row r="284" customFormat="1" s="30"/>
    <row r="285" customFormat="1" s="30"/>
    <row r="286" customFormat="1" s="30"/>
    <row r="287" customFormat="1" s="30"/>
    <row r="288" customFormat="1" s="30"/>
    <row r="289" customFormat="1" s="30"/>
    <row r="290" customFormat="1" s="30"/>
    <row r="291" customFormat="1" s="30"/>
    <row r="292" customFormat="1" s="30"/>
    <row r="293" customFormat="1" s="30"/>
    <row r="294" customFormat="1" s="30"/>
    <row r="295" customFormat="1" s="30"/>
    <row r="296" customFormat="1" s="30"/>
    <row r="297" customFormat="1" s="30"/>
    <row r="298" customFormat="1" s="30"/>
    <row r="299" customFormat="1" s="30"/>
    <row r="300" customFormat="1" s="30"/>
    <row r="301" customFormat="1" s="30"/>
    <row r="302" customFormat="1" s="30"/>
    <row r="303" customFormat="1" s="30"/>
    <row r="304" customFormat="1" s="30"/>
    <row r="305" customFormat="1" s="30"/>
    <row r="306" customFormat="1" s="30"/>
    <row r="307" customFormat="1" s="30"/>
    <row r="308" customFormat="1" s="30"/>
    <row r="309" customFormat="1" s="30"/>
    <row r="310" customFormat="1" s="30"/>
    <row r="311" customFormat="1" s="30"/>
    <row r="312" customFormat="1" s="30"/>
    <row r="313" customFormat="1" s="30"/>
    <row r="314" customFormat="1" s="30"/>
    <row r="315" customFormat="1" s="30"/>
    <row r="316" customFormat="1" s="30"/>
    <row r="317" customFormat="1" s="30"/>
    <row r="318" customFormat="1" s="30"/>
    <row r="319" customFormat="1" s="30"/>
    <row r="320" customFormat="1" s="30"/>
    <row r="321" customFormat="1" s="30"/>
    <row r="322" customFormat="1" s="30"/>
    <row r="323" customFormat="1" s="30"/>
    <row r="324" customFormat="1" s="30"/>
    <row r="325" customFormat="1" s="30"/>
    <row r="326" customFormat="1" s="30"/>
    <row r="327" customFormat="1" s="30"/>
    <row r="328" customFormat="1" s="30"/>
    <row r="329" customFormat="1" s="30"/>
    <row r="330" customFormat="1" s="30"/>
    <row r="331" customFormat="1" s="30"/>
    <row r="332" customFormat="1" s="30"/>
    <row r="333" customFormat="1" s="30"/>
    <row r="334" customFormat="1" s="30"/>
    <row r="335" customFormat="1" s="30"/>
    <row r="336" customFormat="1" s="30"/>
    <row r="337" customFormat="1" s="30"/>
    <row r="338" customFormat="1" s="30"/>
    <row r="339" customFormat="1" s="30"/>
    <row r="340" customFormat="1" s="30"/>
    <row r="341" customFormat="1" s="30"/>
    <row r="342" customFormat="1" s="30"/>
    <row r="343" customFormat="1" s="30"/>
    <row r="344" customFormat="1" s="30"/>
    <row r="345" customFormat="1" s="30"/>
    <row r="346" customFormat="1" s="30"/>
    <row r="347" customFormat="1" s="30"/>
    <row r="348" customFormat="1" s="30"/>
    <row r="349" customFormat="1" s="30"/>
    <row r="350" customFormat="1" s="30"/>
    <row r="351" customFormat="1" s="30"/>
    <row r="352" customFormat="1" s="30"/>
    <row r="353" customFormat="1" s="30"/>
    <row r="354" customFormat="1" s="30"/>
    <row r="355" customFormat="1" s="30"/>
    <row r="356" customFormat="1" s="30"/>
    <row r="357" customFormat="1" s="30"/>
    <row r="358" customFormat="1" s="30"/>
    <row r="359" customFormat="1" s="30"/>
    <row r="360" customFormat="1" s="30"/>
    <row r="361" customFormat="1" s="30"/>
    <row r="362" customFormat="1" s="30"/>
    <row r="363" customFormat="1" s="30"/>
    <row r="364" customFormat="1" s="30"/>
    <row r="365" customFormat="1" s="30"/>
    <row r="366" customFormat="1" s="30"/>
    <row r="367" customFormat="1" s="30"/>
    <row r="368" customFormat="1" s="30"/>
    <row r="369" customFormat="1" s="30"/>
    <row r="370" customFormat="1" s="30"/>
    <row r="371" customFormat="1" s="30"/>
    <row r="372" customFormat="1" s="30"/>
    <row r="373" customFormat="1" s="30"/>
    <row r="374" customFormat="1" s="30"/>
    <row r="375" customFormat="1" s="30"/>
    <row r="376" customFormat="1" s="30"/>
    <row r="377" customFormat="1" s="30"/>
    <row r="378" customFormat="1" s="30"/>
    <row r="379" customFormat="1" s="30"/>
    <row r="380" customFormat="1" s="30"/>
    <row r="381" customFormat="1" s="30"/>
    <row r="382" customFormat="1" s="30"/>
    <row r="383" customFormat="1" s="30"/>
    <row r="384" customFormat="1" s="30"/>
    <row r="385" customFormat="1" s="30"/>
    <row r="386" customFormat="1" s="30"/>
    <row r="387" customFormat="1" s="30"/>
    <row r="388" customFormat="1" s="30"/>
    <row r="389" customFormat="1" s="30"/>
    <row r="390" customFormat="1" s="30"/>
    <row r="391" customFormat="1" s="30"/>
    <row r="392" customFormat="1" s="30"/>
    <row r="393" customFormat="1" s="30"/>
    <row r="394" customFormat="1" s="30"/>
    <row r="395" customFormat="1" s="30"/>
    <row r="396" customFormat="1" s="30"/>
    <row r="397" customFormat="1" s="30"/>
    <row r="398" customFormat="1" s="30"/>
    <row r="399" customFormat="1" s="30"/>
    <row r="400" customFormat="1" s="30"/>
    <row r="401" customFormat="1" s="30"/>
    <row r="402" customFormat="1" s="30"/>
    <row r="403" customFormat="1" s="30"/>
    <row r="404" customFormat="1" s="30"/>
    <row r="405" customFormat="1" s="30"/>
    <row r="406" customFormat="1" s="30"/>
    <row r="407" customFormat="1" s="30"/>
    <row r="408" customFormat="1" s="30"/>
    <row r="409" customFormat="1" s="30"/>
    <row r="410" customFormat="1" s="30"/>
    <row r="411" customFormat="1" s="30"/>
    <row r="412" customFormat="1" s="30"/>
    <row r="413" customFormat="1" s="30"/>
    <row r="414" customFormat="1" s="30"/>
    <row r="415" customFormat="1" s="30"/>
    <row r="416" customFormat="1" s="30"/>
    <row r="417" customFormat="1" s="30"/>
    <row r="418" customFormat="1" s="30"/>
    <row r="419" customFormat="1" s="30"/>
    <row r="420" customFormat="1" s="30"/>
    <row r="421" customFormat="1" s="30"/>
    <row r="422" customFormat="1" s="30"/>
    <row r="423" customFormat="1" s="30"/>
    <row r="424" customFormat="1" s="30"/>
    <row r="425" customFormat="1" s="30"/>
    <row r="426" customFormat="1" s="30"/>
    <row r="427" customFormat="1" s="30"/>
    <row r="428" customFormat="1" s="30"/>
    <row r="429" customFormat="1" s="30"/>
    <row r="430" customFormat="1" s="30"/>
    <row r="431" customFormat="1" s="30"/>
    <row r="432" customFormat="1" s="30"/>
    <row r="433" customFormat="1" s="30"/>
    <row r="434" customFormat="1" s="30"/>
    <row r="435" customFormat="1" s="30"/>
    <row r="436" customFormat="1" s="30"/>
    <row r="437" customFormat="1" s="30"/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E22"/>
  <sheetViews>
    <sheetView workbookViewId="0">
      <selection activeCell="B8" sqref="B8"/>
    </sheetView>
  </sheetViews>
  <sheetFormatPr baseColWidth="10" defaultColWidth="11.5546875" defaultRowHeight="13.2"/>
  <cols>
    <col width="39.5546875" customWidth="1" style="87" min="1" max="1"/>
    <col width="54.44140625" customWidth="1" style="83" min="2" max="5"/>
    <col width="11.5546875" customWidth="1" style="87" min="6" max="16384"/>
  </cols>
  <sheetData>
    <row r="1" ht="36.6" customHeight="1">
      <c r="A1" s="88" t="inlineStr">
        <is>
          <t>Nombre del Requerimiento</t>
        </is>
      </c>
      <c r="B1" s="88" t="inlineStr">
        <is>
          <t>R1: Ejecución Exitosa y Optimizada</t>
        </is>
      </c>
      <c r="C1" s="88" t="inlineStr">
        <is>
          <t>R2: Ejecución Fallida (No detiene cadena)</t>
        </is>
      </c>
      <c r="D1" s="88" t="inlineStr">
        <is>
          <t>R3: Intento de Ejecución Concurrente (Negativo)</t>
        </is>
      </c>
      <c r="E1" s="88" t="inlineStr">
        <is>
          <t>R4: Consulta de Configuración del Proceso</t>
        </is>
      </c>
    </row>
    <row r="2">
      <c r="A2" s="89" t="inlineStr">
        <is>
          <t>"Precondiciones"</t>
        </is>
      </c>
      <c r="B2" s="85" t="n"/>
      <c r="C2" s="85" t="n"/>
      <c r="D2" s="85" t="n"/>
      <c r="E2" s="85" t="n"/>
    </row>
    <row r="3" ht="26.4" customHeight="1">
      <c r="A3" s="84" t="inlineStr">
        <is>
          <t>1. Proceso PJMMN177 configurado para paralelización.</t>
        </is>
      </c>
      <c r="B3" s="85" t="inlineStr">
        <is>
          <t>X</t>
        </is>
      </c>
      <c r="C3" s="85" t="inlineStr">
        <is>
          <t>X</t>
        </is>
      </c>
      <c r="D3" s="85" t="inlineStr">
        <is>
          <t>X</t>
        </is>
      </c>
      <c r="E3" s="85" t="inlineStr">
        <is>
          <t>X</t>
        </is>
      </c>
    </row>
    <row r="4" ht="26.4" customHeight="1">
      <c r="A4" s="84" t="inlineStr">
        <is>
          <t>2. Threads de procesos (1 a 15) correctamente definidos.</t>
        </is>
      </c>
      <c r="B4" s="85" t="inlineStr">
        <is>
          <t>X</t>
        </is>
      </c>
      <c r="C4" s="85" t="inlineStr">
        <is>
          <t>X</t>
        </is>
      </c>
      <c r="D4" s="85" t="inlineStr">
        <is>
          <t>X</t>
        </is>
      </c>
      <c r="E4" s="85" t="inlineStr">
        <is>
          <t>X</t>
        </is>
      </c>
    </row>
    <row r="5" ht="26.4" customHeight="1">
      <c r="A5" s="84" t="inlineStr">
        <is>
          <t>3. Usuario QA con permisos de consulta y ejecución.</t>
        </is>
      </c>
      <c r="B5" s="85" t="inlineStr">
        <is>
          <t>X</t>
        </is>
      </c>
      <c r="C5" s="85" t="inlineStr">
        <is>
          <t>X</t>
        </is>
      </c>
      <c r="D5" s="85" t="inlineStr">
        <is>
          <t>X</t>
        </is>
      </c>
      <c r="E5" s="85" t="inlineStr">
        <is>
          <t>X</t>
        </is>
      </c>
    </row>
    <row r="6" ht="26.4" customHeight="1">
      <c r="A6" s="84" t="inlineStr">
        <is>
          <t>4. Proceso PJMMN177 se encuentra "En Ejecución".</t>
        </is>
      </c>
      <c r="B6" s="85" t="n"/>
      <c r="C6" s="85" t="n"/>
      <c r="D6" s="85" t="inlineStr">
        <is>
          <t>X</t>
        </is>
      </c>
      <c r="E6" s="85" t="n"/>
    </row>
    <row r="7">
      <c r="A7" s="89" t="inlineStr">
        <is>
          <t>"Condiciones / Valores Límite"</t>
        </is>
      </c>
      <c r="B7" s="85" t="n"/>
      <c r="C7" s="85" t="n"/>
      <c r="D7" s="85" t="n"/>
      <c r="E7" s="85" t="n"/>
    </row>
    <row r="8" ht="26.4" customHeight="1">
      <c r="A8" s="84" t="inlineStr">
        <is>
          <t>1. Volumen de Datos: Carga representativa (Clase de equivalencia válida).</t>
        </is>
      </c>
      <c r="B8" s="85" t="inlineStr">
        <is>
          <t>X</t>
        </is>
      </c>
      <c r="C8" s="85" t="inlineStr">
        <is>
          <t>X</t>
        </is>
      </c>
      <c r="D8" s="85" t="n"/>
      <c r="E8" s="85" t="n"/>
    </row>
    <row r="9" ht="26.4" customHeight="1">
      <c r="A9" s="84" t="inlineStr">
        <is>
          <t>2. Volumen de Datos: Carga máxima de estrés (Valor Límite Superior).</t>
        </is>
      </c>
      <c r="B9" s="85" t="inlineStr">
        <is>
          <t>X</t>
        </is>
      </c>
      <c r="C9" s="85" t="n"/>
      <c r="D9" s="85" t="n"/>
      <c r="E9" s="85" t="n"/>
    </row>
    <row r="10" ht="26.4" customHeight="1">
      <c r="A10" s="84" t="inlineStr">
        <is>
          <t>3. Threads: Ejecución utilizando todos los threads configurados (15).</t>
        </is>
      </c>
      <c r="B10" s="85" t="inlineStr">
        <is>
          <t>X</t>
        </is>
      </c>
      <c r="C10" s="85" t="inlineStr">
        <is>
          <t>X</t>
        </is>
      </c>
      <c r="D10" s="85" t="n"/>
      <c r="E10" s="85" t="n"/>
    </row>
    <row r="11" ht="26.4" customHeight="1">
      <c r="A11" s="84" t="inlineStr">
        <is>
          <t>4. Threads: Ejecución utilizando 1 solo thread (Valor Límite Inferior).</t>
        </is>
      </c>
      <c r="B11" s="85" t="inlineStr">
        <is>
          <t>X</t>
        </is>
      </c>
      <c r="C11" s="85" t="n"/>
      <c r="D11" s="85" t="n"/>
      <c r="E11" s="85" t="n"/>
    </row>
    <row r="12">
      <c r="A12" s="89" t="inlineStr">
        <is>
          <t>"Módulos Involucrados"</t>
        </is>
      </c>
      <c r="B12" s="85" t="n"/>
      <c r="C12" s="85" t="n"/>
      <c r="D12" s="85" t="n"/>
      <c r="E12" s="85" t="n"/>
    </row>
    <row r="13" ht="22.95" customHeight="1">
      <c r="A13" s="90" t="inlineStr">
        <is>
          <t>1. Módulo de Ejecución de Procesos Batch.</t>
        </is>
      </c>
      <c r="B13" s="91" t="inlineStr">
        <is>
          <t>X</t>
        </is>
      </c>
      <c r="C13" s="91" t="inlineStr">
        <is>
          <t>X</t>
        </is>
      </c>
      <c r="D13" s="91" t="inlineStr">
        <is>
          <t>X</t>
        </is>
      </c>
      <c r="E13" s="91" t="n"/>
    </row>
    <row r="14" ht="22.95" customHeight="1">
      <c r="A14" s="90" t="inlineStr">
        <is>
          <t>2. Módulo de Consulta de Logs.</t>
        </is>
      </c>
      <c r="B14" s="91" t="inlineStr">
        <is>
          <t>X</t>
        </is>
      </c>
      <c r="C14" s="91" t="inlineStr">
        <is>
          <t>X</t>
        </is>
      </c>
      <c r="D14" s="91" t="n"/>
      <c r="E14" s="91" t="n"/>
    </row>
    <row r="15" ht="26.4" customHeight="1">
      <c r="A15" s="90" t="inlineStr">
        <is>
          <t>3. Módulo de Mantenimiento de Procesos (Consulta).</t>
        </is>
      </c>
      <c r="B15" s="91" t="n"/>
      <c r="C15" s="91" t="n"/>
      <c r="D15" s="91" t="n"/>
      <c r="E15" s="91" t="inlineStr">
        <is>
          <t>X</t>
        </is>
      </c>
    </row>
    <row r="16">
      <c r="A16" s="90" t="inlineStr">
        <is>
          <t>"Acciones / Resultados"</t>
        </is>
      </c>
      <c r="B16" s="91" t="n"/>
      <c r="C16" s="91" t="n"/>
      <c r="D16" s="91" t="n"/>
      <c r="E16" s="91" t="n"/>
    </row>
    <row r="17" ht="21" customHeight="1">
      <c r="A17" s="90" t="inlineStr">
        <is>
          <t>1. Acción: Ejecutar PJMMN177 bajo demanda.</t>
        </is>
      </c>
      <c r="B17" s="91" t="inlineStr">
        <is>
          <t>X</t>
        </is>
      </c>
      <c r="C17" s="91" t="inlineStr">
        <is>
          <t>X</t>
        </is>
      </c>
      <c r="D17" s="91" t="inlineStr">
        <is>
          <t>X</t>
        </is>
      </c>
      <c r="E17" s="91" t="n"/>
    </row>
    <row r="18" ht="26.4" customHeight="1">
      <c r="A18" s="90" t="inlineStr">
        <is>
          <t>2. Acción: Consultar configuración del proceso PJMMN177.</t>
        </is>
      </c>
      <c r="B18" s="91" t="n"/>
      <c r="C18" s="91" t="n"/>
      <c r="D18" s="91" t="n"/>
      <c r="E18" s="91" t="inlineStr">
        <is>
          <t>X</t>
        </is>
      </c>
    </row>
    <row r="19" ht="39.6" customHeight="1">
      <c r="A19" s="90" t="inlineStr">
        <is>
          <t>3. Resultado: Proceso finaliza correctamente y en un tiempo significativamente menor a las 10 horas.</t>
        </is>
      </c>
      <c r="B19" s="91" t="inlineStr">
        <is>
          <t>X</t>
        </is>
      </c>
      <c r="C19" s="91" t="n"/>
      <c r="D19" s="91" t="n"/>
      <c r="E19" s="91" t="n"/>
    </row>
    <row r="20" ht="39.6" customHeight="1">
      <c r="A20" s="90" t="inlineStr">
        <is>
          <t>4. Resultado: Proceso falla, pero el siguiente proceso de la cadena (PJMMN176) inicia su ejecución.</t>
        </is>
      </c>
      <c r="B20" s="91" t="n"/>
      <c r="C20" s="91" t="inlineStr">
        <is>
          <t>X</t>
        </is>
      </c>
      <c r="D20" s="91" t="n"/>
      <c r="E20" s="91" t="n"/>
    </row>
    <row r="21" ht="39.6" customHeight="1">
      <c r="A21" s="90" t="inlineStr">
        <is>
          <t>5. Resultado: El sistema impide la segunda ejecución y muestra un mensaje de error informativo.</t>
        </is>
      </c>
      <c r="B21" s="91" t="n"/>
      <c r="C21" s="91" t="n"/>
      <c r="D21" s="91" t="inlineStr">
        <is>
          <t>X</t>
        </is>
      </c>
      <c r="E21" s="91" t="n"/>
    </row>
    <row r="22" ht="39.6" customHeight="1">
      <c r="A22" s="90" t="inlineStr">
        <is>
          <t>6. Resultado: La interfaz de Bantotal muestra correctamente los parámetros de SQL, threads y comportamiento.</t>
        </is>
      </c>
      <c r="B22" s="91" t="n"/>
      <c r="C22" s="91" t="n"/>
      <c r="D22" s="91" t="n"/>
      <c r="E22" s="91" t="inlineStr">
        <is>
          <t>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J30"/>
  <sheetViews>
    <sheetView tabSelected="1" zoomScaleNormal="100" workbookViewId="0">
      <selection activeCell="C10" sqref="C10"/>
    </sheetView>
  </sheetViews>
  <sheetFormatPr baseColWidth="10" defaultRowHeight="13.2"/>
  <cols>
    <col width="20.6640625" customWidth="1" min="1" max="1"/>
    <col width="16.44140625" customWidth="1" min="2" max="2"/>
    <col width="15.88671875" customWidth="1" min="3" max="3"/>
    <col width="49.6640625" customWidth="1" min="4" max="4"/>
    <col width="45.44140625" customWidth="1" min="5" max="5"/>
    <col width="31.44140625" customWidth="1" min="6" max="6"/>
    <col width="34.77734375" customWidth="1" min="7" max="7"/>
    <col width="15.88671875" customWidth="1" min="8" max="8"/>
    <col width="23.33203125" customWidth="1" min="9" max="9"/>
    <col width="3.109375" customWidth="1" min="10" max="10"/>
  </cols>
  <sheetData>
    <row r="1">
      <c r="A1" s="157" t="inlineStr">
        <is>
          <t>DISEÑO DE PRUEBAS</t>
        </is>
      </c>
      <c r="B1" s="158" t="n"/>
      <c r="C1" s="158" t="n"/>
      <c r="D1" s="158" t="n"/>
      <c r="E1" s="158" t="n"/>
      <c r="F1" s="158" t="n"/>
      <c r="G1" s="158" t="n"/>
      <c r="H1" s="158" t="n"/>
      <c r="I1" s="159" t="n"/>
      <c r="J1" s="30" t="n"/>
    </row>
    <row r="2" ht="30.6" customHeight="1">
      <c r="A2" s="160" t="n"/>
      <c r="I2" s="161" t="n"/>
      <c r="J2" s="30" t="n"/>
    </row>
    <row r="3">
      <c r="A3" s="162" t="n"/>
      <c r="B3" s="163" t="n"/>
      <c r="C3" s="163" t="n"/>
      <c r="D3" s="163" t="n"/>
      <c r="E3" s="163" t="n"/>
      <c r="F3" s="163" t="n"/>
      <c r="G3" s="163" t="n"/>
      <c r="H3" s="163" t="n"/>
      <c r="I3" s="164" t="n"/>
      <c r="J3" s="30" t="n"/>
    </row>
    <row r="4">
      <c r="A4" s="30" t="n"/>
      <c r="B4" s="71" t="n"/>
      <c r="C4" s="30" t="n"/>
      <c r="D4" s="30" t="n"/>
      <c r="E4" s="30" t="n"/>
      <c r="F4" s="72" t="n"/>
      <c r="G4" s="73" t="n"/>
      <c r="H4" s="74" t="n"/>
      <c r="I4" s="74" t="n"/>
      <c r="J4" s="30" t="n"/>
    </row>
    <row r="5">
      <c r="A5" s="120" t="inlineStr">
        <is>
          <t>MATRIZ DE PRUEBA</t>
        </is>
      </c>
      <c r="B5" s="158" t="n"/>
      <c r="C5" s="158" t="n"/>
      <c r="D5" s="158" t="n"/>
      <c r="E5" s="158" t="n"/>
      <c r="F5" s="158" t="n"/>
      <c r="G5" s="158" t="n"/>
      <c r="H5" s="158" t="n"/>
      <c r="I5" s="158" t="n"/>
      <c r="J5" s="75" t="n"/>
    </row>
    <row r="6">
      <c r="A6" s="122" t="n"/>
      <c r="B6" s="163" t="n"/>
      <c r="C6" s="163" t="n"/>
      <c r="D6" s="163" t="n"/>
      <c r="E6" s="163" t="n"/>
      <c r="F6" s="163" t="n"/>
      <c r="G6" s="163" t="n"/>
      <c r="H6" s="163" t="n"/>
      <c r="I6" s="163" t="n"/>
      <c r="J6" s="75" t="n"/>
    </row>
    <row r="7" ht="39.6" customHeight="1">
      <c r="A7" s="76" t="inlineStr">
        <is>
          <t>ID del Requerimiento</t>
        </is>
      </c>
      <c r="B7" s="92" t="n"/>
      <c r="C7" s="77" t="inlineStr">
        <is>
          <t>Elaborado por:</t>
        </is>
      </c>
      <c r="D7" s="125" t="n"/>
      <c r="E7" s="165" t="n"/>
      <c r="F7" s="156" t="n"/>
      <c r="G7" s="76" t="inlineStr">
        <is>
          <t>Fecha de Elaboración:</t>
        </is>
      </c>
      <c r="H7" s="166" t="n"/>
      <c r="I7" s="156" t="n"/>
      <c r="J7" s="75" t="n"/>
    </row>
    <row r="8" ht="13.8" customHeight="1" thickBot="1"/>
    <row r="9" ht="70.2" customFormat="1" customHeight="1" s="98">
      <c r="A9" s="97" t="inlineStr">
        <is>
          <t>Proceso o Funcionalidad</t>
        </is>
      </c>
      <c r="B9" s="95" t="inlineStr">
        <is>
          <t>ID del caso de prueba</t>
        </is>
      </c>
      <c r="C9" s="95" t="inlineStr">
        <is>
          <t>Etapa</t>
        </is>
      </c>
      <c r="D9" s="95" t="inlineStr">
        <is>
          <t>Descripción del caso de prueba</t>
        </is>
      </c>
      <c r="E9" s="95" t="inlineStr">
        <is>
          <t>Descripción de los Pasos de prueba</t>
        </is>
      </c>
      <c r="F9" s="95" t="inlineStr">
        <is>
          <t>Elementos a Probar</t>
        </is>
      </c>
      <c r="G9" s="95" t="inlineStr">
        <is>
          <t>Resultados Esperados</t>
        </is>
      </c>
      <c r="H9" s="95" t="inlineStr">
        <is>
          <t>Prueba</t>
        </is>
      </c>
      <c r="I9" s="96" t="inlineStr">
        <is>
          <t>Observaciones</t>
        </is>
      </c>
    </row>
    <row r="10">
      <c r="A10" s="167" t="inlineStr">
        <is>
          <t>validateCredentials - Campos obligatorios</t>
        </is>
      </c>
      <c r="B10" s="168" t="inlineStr">
        <is>
          <t>VC_001</t>
        </is>
      </c>
      <c r="C10" s="168" t="inlineStr">
        <is>
          <t>Validación de Request</t>
        </is>
      </c>
      <c r="D10" s="167" t="inlineStr">
        <is>
          <t>Verificar que el servicio retorne error cuando faltan campos obligatorios en el request.</t>
        </is>
      </c>
      <c r="E10" s="168" t="inlineStr">
        <is>
          <t>1. Enviar request a /validateCredentials sin el campo 'contextTransaction'.
2. Enviar request a /validateCredentials sin el campo 'credential'.
3. Enviar request a /validateCredentials sin el campo 'trazabilityCode'.
4. Enviar request a /validateCredentials con 'contextTransaction' vacío.
5. Enviar request a /validateCredentials con 'credential' vacío.</t>
        </is>
      </c>
      <c r="F10" s="168" t="inlineStr">
        <is>
          <t>Validación de campos obligatorios en el request.</t>
        </is>
      </c>
      <c r="G10" s="168" t="inlineStr">
        <is>
          <t>1. El servicio retorna error E001 y status code 400.
2. El servicio retorna error E001 y status code 400.
3. El servicio retorna error E001 y status code 400.
4. El servicio retorna error E001 y status code 400.
5. El servicio retorna error E001 y status code 400.</t>
        </is>
      </c>
      <c r="H10" s="168" t="inlineStr">
        <is>
          <t>Negativa</t>
        </is>
      </c>
      <c r="I10" s="169" t="inlineStr">
        <is>
          <t>Verificar que el mensaje de error sea claro y descriptivo.</t>
        </is>
      </c>
    </row>
    <row r="11">
      <c r="A11" s="167" t="inlineStr">
        <is>
          <t>validateCredentials - Desencriptación de contraseña</t>
        </is>
      </c>
      <c r="B11" s="168" t="inlineStr">
        <is>
          <t>VC_002</t>
        </is>
      </c>
      <c r="C11" s="168" t="inlineStr">
        <is>
          <t>Desencriptación</t>
        </is>
      </c>
      <c r="D11" s="167" t="inlineStr">
        <is>
          <t>Verificar que el servicio retorne error cuando falla la desencriptación de la contraseña.</t>
        </is>
      </c>
      <c r="E11" s="168" t="inlineStr">
        <is>
          <t>1. Enviar request a /validateCredentials con una contraseña que no pueda ser desencriptada (formato incorrecto).
2. Simular un error al inicializar la clave AES.</t>
        </is>
      </c>
      <c r="F11" s="168" t="inlineStr">
        <is>
          <t>Proceso de desencriptación de la contraseña.</t>
        </is>
      </c>
      <c r="G11" s="168" t="inlineStr">
        <is>
          <t>1. El servicio retorna error E003 y status code 400.
2. El servicio retorna error E002 y status code 400.</t>
        </is>
      </c>
      <c r="H11" s="168" t="inlineStr">
        <is>
          <t>Negativa</t>
        </is>
      </c>
      <c r="I11" s="169" t="inlineStr">
        <is>
          <t>Verificar que el mensaje de error sea claro y descriptivo.</t>
        </is>
      </c>
    </row>
    <row r="12">
      <c r="A12" s="167" t="inlineStr">
        <is>
          <t>validateCredentials - Validar credenciales en SrvAPIAccessCredentialManagement</t>
        </is>
      </c>
      <c r="B12" s="168" t="inlineStr">
        <is>
          <t>VC_003</t>
        </is>
      </c>
      <c r="C12" s="168" t="inlineStr">
        <is>
          <t>Validación de Credenciales</t>
        </is>
      </c>
      <c r="D12" s="167" t="inlineStr">
        <is>
          <t>Verificar que el servicio retorne los errores correspondientes al consumir SrvAPIAccessCredentialManagement.</t>
        </is>
      </c>
      <c r="E12" s="168" t="inlineStr">
        <is>
          <t>1. Enviar request a /validateCredentials que genere error E003 (Timeout) en SrvAPIAccessCredentialManagement.
2. Enviar request a /validateCredentials que genere error E004 (Recurso no encontrado) en SrvAPIAccessCredentialManagement.
3. Enviar request a /validateCredentials que genere error E005 (Internal server error) en SrvAPIAccessCredentialManagement.
4. Enviar request a /validateCredentials que genere error E006 (Servicio no disponible) en SrvAPIAccessCredentialManagement.
5. Enviar request a /validateCredentials que genere error E002 (Longitud incorrecta) en SrvAPIAccessCredentialManagement.
6. Enviar request a /validateCredentials que genere error E001 (Campos obligatorios) en SrvAPIAccessCredentialManagement.
7. Enviar request a /validateCredentials que genere error E007 (Credenciales inválidas) en SrvAPIAccessCredentialManagement.
8. Enviar request a /validateCredentials que genere error E008 (Usuario no existe) en SrvAPIAccessCredentialManagement.
9. Enviar request a /validateCredentials que genere error E011 (Usuario bloqueado) en SrvAPIAccessCredentialManagement.
10. Enviar request a /validateCredentials que genere error E012 (Usuario bloqueado) en SrvAPIAccessCredentialManagement.</t>
        </is>
      </c>
      <c r="F12" s="168" t="inlineStr">
        <is>
          <t>Integración con SrvAPIAccessCredentialManagement.</t>
        </is>
      </c>
      <c r="G12" s="168" t="inlineStr">
        <is>
          <t>1. El servicio retorna error E004 y status code 400.
2. El servicio retorna error E005 y status code 400.
3. El servicio retorna error E006 y status code 400.
4. El servicio retorna error E007 y status code 400.
5. El servicio retorna error E008 y status code 400.
6. El servicio retorna error E009 y status code 400.
7. El servicio retorna error E010 y status code 400.
8. El servicio retorna error E011 y status code 400.
9. El servicio retorna error E012 y status code 400.
10. El servicio retorna error E013 y status code 400.</t>
        </is>
      </c>
      <c r="H12" s="168" t="inlineStr">
        <is>
          <t>Negativa</t>
        </is>
      </c>
      <c r="I12" s="169" t="inlineStr">
        <is>
          <t>Verificar que los mensajes de error sean los esperados y que se correspondan con la documentación.</t>
        </is>
      </c>
    </row>
    <row r="13">
      <c r="A13" s="167" t="inlineStr">
        <is>
          <t>validateCredentials - Validar habilitación PSE</t>
        </is>
      </c>
      <c r="B13" s="168" t="inlineStr">
        <is>
          <t>VC_004</t>
        </is>
      </c>
      <c r="C13" s="168" t="inlineStr">
        <is>
          <t>Validación en BD</t>
        </is>
      </c>
      <c r="D13" s="167" t="inlineStr">
        <is>
          <t>Verificar que el servicio retorne los errores correspondientes al validar la habilitación de PSE en la base de datos.</t>
        </is>
      </c>
      <c r="E13" s="168" t="inlineStr">
        <is>
          <t>1. Enviar request a /validateCredentials que genere error E001 (Campos obligatorios) en PRD_VALIDATE_PSE_ENABLED.
2. Enviar request a /validateCredentials para un cliente que no tiene habilitado PSE (E002).
3. Enviar request a /validateCredentials que genere error E003 (Error en paquete DB) en PRD_VALIDATE_PSE_ENABLED.</t>
        </is>
      </c>
      <c r="F13" s="168" t="inlineStr">
        <is>
          <t>Validación de habilitación PSE en la base de datos.</t>
        </is>
      </c>
      <c r="G13" s="168" t="inlineStr">
        <is>
          <t>1. El servicio retorna error E016 y status code 400.
2. El servicio retorna error E017 y status code 400.
3. El servicio retorna error E018 y status code 400.</t>
        </is>
      </c>
      <c r="H13" s="168" t="inlineStr">
        <is>
          <t>Negativa</t>
        </is>
      </c>
      <c r="I13" s="169" t="inlineStr">
        <is>
          <t>Verificar que los mensajes de error sean los esperados y que se correspondan con la documentación.</t>
        </is>
      </c>
    </row>
    <row r="14">
      <c r="A14" s="167" t="inlineStr">
        <is>
          <t>validateCredentials - Obtener información del cliente</t>
        </is>
      </c>
      <c r="B14" s="168" t="inlineStr">
        <is>
          <t>VC_005</t>
        </is>
      </c>
      <c r="C14" s="168" t="inlineStr">
        <is>
          <t>Obtención de datos del cliente</t>
        </is>
      </c>
      <c r="D14" s="167" t="inlineStr">
        <is>
          <t>Verificar que el servicio retorne los errores correspondientes al obtener la información del cliente desde la base de datos.</t>
        </is>
      </c>
      <c r="E14" s="168" t="inlineStr">
        <is>
          <t>1. Enviar request a /validateCredentials que genere error E001 (Campos obligatorios) en PRD_GET_CUSTOMER_WITH_PSE_TX.
2. Enviar request a /validateCredentials para un cliente no encontrado (E002) en PRD_GET_CUSTOMER_WITH_PSE_TX.
3. Enviar request a /validateCredentials para un cliente sin contacto registrado (E003) en PRD_GET_CUSTOMER_WITH_PSE_TX.
4. Enviar request a /validateCredentials para un cliente con formatos de contacto inválidos (E010) en PRD_GET_CUSTOMER_WITH_PSE_TX.
5. Enviar request a /validateCredentials que genere error E004 (Error técnico) en PRD_GET_CUSTOMER_WITH_PSE_TX.
6. Enviar request a /validateCredentials que genere error E005 (Campos faltantes transacción) en PRD_GET_CUSTOMER_WITH_PSE_TX.
7. Enviar request a /validateCredentials que genere error E006 (Error técnico transacción) en PRD_GET_CUSTOMER_WITH_PSE_TX.
8. Enviar request a /validateCredentials que genere error E007 (Valores negativos transacción) en PRD_GET_CUSTOMER_WITH_PSE_TX.
9. Enviar request a /validateCredentials que genere error E008 (Campos obligatorios combinados) en PRD_GET_CUSTOMER_WITH_PSE_TX.
10. Enviar request a /validateCredentials que genere error E009 (Error inesperado combinado) en PRD_GET_CUSTOMER_WITH_PSE_TX.</t>
        </is>
      </c>
      <c r="F14" s="168" t="inlineStr">
        <is>
          <t>Obtención de información del cliente desde la base de datos.</t>
        </is>
      </c>
      <c r="G14" s="168" t="inlineStr">
        <is>
          <t>1. El servicio retorna error E021 y status code 400.
2. El servicio retorna error E022 y status code 400.
3. El servicio retorna error E023 y status code 400.
4. El servicio retorna error E024 y status code 400.
5. El servicio retorna error E025 y status code 400.
6. El servicio retorna error E026 y status code 400.
7. El servicio retorna error E027 y status code 400.
8. El servicio retorna error E028 y status code 400.
9. El servicio retorna error E029 y status code 400.
10. El servicio retorna error E030 y status code 400.</t>
        </is>
      </c>
      <c r="H14" s="168" t="inlineStr">
        <is>
          <t>Negativa</t>
        </is>
      </c>
      <c r="I14" s="169" t="inlineStr">
        <is>
          <t>Verificar que los mensajes de error sean los esperados y que se correspondan con la documentación.</t>
        </is>
      </c>
    </row>
    <row r="15">
      <c r="A15" s="167" t="inlineStr">
        <is>
          <t>validateCredentials - Validar límites de transacción</t>
        </is>
      </c>
      <c r="B15" s="168" t="inlineStr">
        <is>
          <t>VC_006</t>
        </is>
      </c>
      <c r="C15" s="168" t="inlineStr">
        <is>
          <t>Validación de límites</t>
        </is>
      </c>
      <c r="D15" s="167" t="inlineStr">
        <is>
          <t>Verificar que el servicio retorne los errores correspondientes al validar los límites de transacción.</t>
        </is>
      </c>
      <c r="E15" s="168" t="inlineStr">
        <is>
          <t>1. Enviar request a /validateCredentials que genere error E004 (Campos obligatorios) en PRD_VALIDATE_CU_TX_LIMITS.
2. Enviar request a /validateCredentials que genere error E005 (Monto negativo o cantidad menor igual a cero) en PRD_VALIDATE_CU_TX_LIMITS.
3. Enviar request a /validateCredentials que genere error E006 (Límites inválidos) en PRD_VALIDATE_CU_TX_LIMITS.
4. Enviar request a /validateCredentials que genere error E007 (Cliente no habilitado) en PRD_VALIDATE_CU_TX_LIMITS.
5. Enviar request a /validateCredentials que genere error E008 (Excede monto) en PRD_VALIDATE_CU_TX_LIMITS.
6. Enviar request a /validateCredentials que genere error E009 (Excede cantidad) en PRD_VALIDATE_CU_TX_LIMITS.
7. Enviar request a /validateCredentials que genere error E010 (Excede ambos) en PRD_VALIDATE_CU_TX_LIMITS.
8. Enviar request a /validateCredentials que genere error E011 (Error técnico) en PRD_VALIDATE_CU_TX_LIMITS.</t>
        </is>
      </c>
      <c r="F15" s="168" t="inlineStr">
        <is>
          <t>Validación de límites de transacción.</t>
        </is>
      </c>
      <c r="G15" s="168" t="inlineStr">
        <is>
          <t>1. El servicio retorna error E033 y status code 400.
2. El servicio retorna error E034 y status code 400.
3. El servicio retorna error E035 y status code 400.
4. El servicio retorna error E036 y status code 400.
5. El servicio retorna error E037 y status code 400.
6. El servicio retorna error E038 y status code 400.
7. El servicio retorna error E039 y status code 400.
8. El servicio retorna error E040 y status code 400.</t>
        </is>
      </c>
      <c r="H15" s="168" t="inlineStr">
        <is>
          <t>Negativa</t>
        </is>
      </c>
      <c r="I15" s="169" t="inlineStr">
        <is>
          <t>Verificar que los mensajes de error sean los esperados y que se correspondan con la documentación.</t>
        </is>
      </c>
    </row>
    <row r="16">
      <c r="A16" s="167" t="inlineStr">
        <is>
          <t>validateCredentials - Envío de OTP</t>
        </is>
      </c>
      <c r="B16" s="168" t="inlineStr">
        <is>
          <t>VC_007</t>
        </is>
      </c>
      <c r="C16" s="168" t="inlineStr">
        <is>
          <t>Envío de OTP</t>
        </is>
      </c>
      <c r="D16" s="167" t="inlineStr">
        <is>
          <t>Verificar que el servicio retorne los errores correspondientes al enviar el OTP.</t>
        </is>
      </c>
      <c r="E16" s="168" t="inlineStr">
        <is>
          <t>1. Enviar request a /validateCredentials que genere error E043 (Timeout) al consumir SrvIntOTPDiffuser.
2. Enviar request a /validateCredentials que genere error E044 (Error técnico) al consumir SrvIntOTPDiffuser.
3. Enviar request a /validateCredentials que genere error E045 (OTP bloqueado) al consumir SrvIntOTPDiffuser.</t>
        </is>
      </c>
      <c r="F16" s="168" t="inlineStr">
        <is>
          <t>Envío de OTP a través de SrvIntOTPDiffuser.</t>
        </is>
      </c>
      <c r="G16" s="168" t="inlineStr">
        <is>
          <t>1. El servicio retorna error E043 y status code 400.
2. El servicio retorna error E044 y status code 400.
3. El servicio retorna error E045 y status code 400.</t>
        </is>
      </c>
      <c r="H16" s="168" t="inlineStr">
        <is>
          <t>Negativa</t>
        </is>
      </c>
      <c r="I16" s="169" t="inlineStr">
        <is>
          <t>Verificar que los mensajes de error sean los esperados y que se correspondan con la documentación.</t>
        </is>
      </c>
    </row>
    <row r="17">
      <c r="A17" s="167" t="inlineStr">
        <is>
          <t>validateCredentials - Flujo exitoso</t>
        </is>
      </c>
      <c r="B17" s="168" t="inlineStr">
        <is>
          <t>VC_008</t>
        </is>
      </c>
      <c r="C17" s="168" t="inlineStr">
        <is>
          <t>Flujo Exitoso</t>
        </is>
      </c>
      <c r="D17" s="168" t="inlineStr">
        <is>
          <t>Verificar que el servicio retorne una respuesta exitosa cuando todas las validaciones son correctas.</t>
        </is>
      </c>
      <c r="E17" s="168" t="inlineStr">
        <is>
          <t>1. Enviar request a /validateCredentials con datos válidos.</t>
        </is>
      </c>
      <c r="F17" s="168" t="inlineStr">
        <is>
          <t>Flujo completo del servicio.</t>
        </is>
      </c>
      <c r="G17" s="168" t="inlineStr">
        <is>
          <t>1. El servicio retorna una respuesta con validationResult = true, status code 200 y el campo otpMessage contiene el mensaje con los datos enmascarados.</t>
        </is>
      </c>
      <c r="H17" s="168" t="inlineStr">
        <is>
          <t>Positiva</t>
        </is>
      </c>
      <c r="I17" s="169" t="inlineStr">
        <is>
          <t>Verificar que el mensaje de OTP sea el esperado y que contenga los datos enmascarados correctamente.</t>
        </is>
      </c>
    </row>
    <row r="18">
      <c r="A18" s="167" t="inlineStr">
        <is>
          <t>validateOTP - Campos obligatorios</t>
        </is>
      </c>
      <c r="B18" s="168" t="inlineStr">
        <is>
          <t>VO_001</t>
        </is>
      </c>
      <c r="C18" s="168" t="inlineStr">
        <is>
          <t>Validación de Request</t>
        </is>
      </c>
      <c r="D18" s="168" t="inlineStr">
        <is>
          <t>Verificar que el servicio retorne error cuando faltan campos obligatorios en el request.</t>
        </is>
      </c>
      <c r="E18" s="168" t="inlineStr">
        <is>
          <t>1. Enviar request a /validateOTP sin el campo 'contextTransaction'.
2. Enviar request a /validateOTP sin el campo 'credential'.
3. Enviar request a /validateOTP sin el campo 'trazabilityCode'.
4. Enviar request a /validateOTP con 'contextTransaction' vacío.
5. Enviar request a /validateOTP con 'credential' vacío.</t>
        </is>
      </c>
      <c r="F18" s="168" t="inlineStr">
        <is>
          <t>Validación de campos obligatorios en el request.</t>
        </is>
      </c>
      <c r="G18" s="168" t="inlineStr">
        <is>
          <t>1. El servicio retorna error E046 y status code 400.
2. El servicio retorna error E046 y status code 400.
3. El servicio retorna error E046 y status code 400.
4. El servicio retorna error E046 y status code 400.
5. El servicio retorna error E046 y status code 400.</t>
        </is>
      </c>
      <c r="H18" s="168" t="inlineStr">
        <is>
          <t>Negativa</t>
        </is>
      </c>
      <c r="I18" s="169" t="inlineStr">
        <is>
          <t>Verificar que el mensaje de error sea claro y descriptivo.</t>
        </is>
      </c>
    </row>
    <row r="19">
      <c r="A19" s="167" t="inlineStr">
        <is>
          <t>validateOTP - Desencriptación de OTP</t>
        </is>
      </c>
      <c r="B19" s="168" t="inlineStr">
        <is>
          <t>VO_002</t>
        </is>
      </c>
      <c r="C19" s="168" t="inlineStr">
        <is>
          <t>Desencriptación</t>
        </is>
      </c>
      <c r="D19" s="168" t="inlineStr">
        <is>
          <t>Verificar que el servicio retorne error cuando falla la desencriptación del OTP.</t>
        </is>
      </c>
      <c r="E19" s="168" t="inlineStr">
        <is>
          <t>1. Enviar request a /validateOTP con un OTP que no pueda ser desencriptado (formato incorrecto).
2. Simular un error al inicializar la clave AES.</t>
        </is>
      </c>
      <c r="F19" s="168" t="inlineStr">
        <is>
          <t>Proceso de desencriptación del OTP.</t>
        </is>
      </c>
      <c r="G19" s="168" t="inlineStr">
        <is>
          <t>1. El servicio retorna error E048 y status code 400.
2. El servicio retorna error E047 y status code 400.</t>
        </is>
      </c>
      <c r="H19" s="168" t="inlineStr">
        <is>
          <t>Negativa</t>
        </is>
      </c>
      <c r="I19" s="169" t="inlineStr">
        <is>
          <t>Verificar que el mensaje de error sea claro y descriptivo.</t>
        </is>
      </c>
    </row>
    <row r="20">
      <c r="A20" s="167" t="inlineStr">
        <is>
          <t>validateOTP - Validar OTP en SrvIntOTPDiffuser</t>
        </is>
      </c>
      <c r="B20" s="168" t="inlineStr">
        <is>
          <t>VO_003</t>
        </is>
      </c>
      <c r="C20" s="168" t="inlineStr">
        <is>
          <t>Validación de OTP</t>
        </is>
      </c>
      <c r="D20" s="168" t="inlineStr">
        <is>
          <t>Verificar que el servicio retorne los errores correspondientes al consumir SrvIntOTPDiffuser.</t>
        </is>
      </c>
      <c r="E20" s="168" t="inlineStr">
        <is>
          <t>1. Enviar request a /validateOTP que genere error E049 (Timeout) al consumir SrvIntOTPDiffuser.
2. Enviar request a /validateOTP que genere error E050 (Error técnico) al consumir SrvIntOTPDiffuser.
3. Enviar request a /validateOTP que genere error E051 (OTP inválido) al consumir SrvIntOTPDiffuser.
4. Enviar request a /validateOTP que genere error E052 (OTP no generado) al consumir SrvIntOTPDiffuser.
5. Enviar request a /validateOTP que genere error E053 (OTP bloqueado) al consumir SrvIntOTPDiffuser.
6. Enviar request a /validateOTP que genere error E054 (Cliente no existe) al consumir SrvIntOTPDiffuser.
7. Enviar request a /validateOTP que genere error E073 (OTP expirado) al consumir SrvIntOTPDiffuser.</t>
        </is>
      </c>
      <c r="F20" s="168" t="inlineStr">
        <is>
          <t>Integración con SrvIntOTPDiffuser.</t>
        </is>
      </c>
      <c r="G20" s="168" t="inlineStr">
        <is>
          <t>1. El servicio retorna error E049 y status code 408.
2. El servicio retorna error E050 y status code 500.
3. El servicio retorna error E051 y status code 200.
4. El servicio retorna error E052 y status code 200.
5. El servicio retorna error E053 y status code 200.
6. El servicio retorna error E054 y status code 404.
7. El servicio retorna error E073 y status code 400.</t>
        </is>
      </c>
      <c r="H20" s="168" t="inlineStr">
        <is>
          <t>Negativa</t>
        </is>
      </c>
      <c r="I20" s="169" t="inlineStr">
        <is>
          <t>Verificar que los mensajes de error sean los esperados y que se correspondan con la documentación.</t>
        </is>
      </c>
    </row>
    <row r="21">
      <c r="A21" s="167" t="inlineStr">
        <is>
          <t>validateOTP - Consultar cuentas en SrvAPIBankAccount</t>
        </is>
      </c>
      <c r="B21" s="168" t="inlineStr">
        <is>
          <t>VO_004</t>
        </is>
      </c>
      <c r="C21" s="168" t="inlineStr">
        <is>
          <t>Consulta de cuentas</t>
        </is>
      </c>
      <c r="D21" s="168" t="inlineStr">
        <is>
          <t>Verificar que el servicio retorne los errores correspondientes al consumir SrvAPIBankAccount.</t>
        </is>
      </c>
      <c r="E21" s="168" t="inlineStr">
        <is>
          <t>1. Enviar request a /validateOTP que genere error E055 (Timeout) al consumir SrvAPIBankAccount.
2. Enviar request a /validateOTP que genere error E056 (Error técnico) al consumir SrvAPIBankAccount.
3. Enviar request a /validateOTP que genere error E057 (codMessage = E003) al consumir SrvAPIBankAccount.
4. Enviar request a /validateOTP que genere error E058 (codMessage = E004) al consumir SrvAPIBankAccount.
5. Enviar request a /validateOTP que genere error E059 (codMessage = E005) al consumir SrvAPIBankAccount.
6. Enviar request a /validateOTP que genere error E060 (codMessage = E006) al consumir SrvAPIBankAccount.
7. Enviar request a /validateOTP que genere error E061 (Cliente sin cuentas) al consumir SrvAPIBankAccount.</t>
        </is>
      </c>
      <c r="F21" s="168" t="inlineStr">
        <is>
          <t>Integración con SrvAPIBankAccount.</t>
        </is>
      </c>
      <c r="G21" s="168" t="inlineStr">
        <is>
          <t>1. El servicio retorna error E055 y status code 408.
2. El servicio retorna error E056 y status code 500.
3. El servicio retorna error E057 y status code 400.
4. El servicio retorna error E058 y status code 400.
5. El servicio retorna error E059 y status code 400.
6. El servicio retorna error E060 y status code 400.
7. El servicio retorna error E061 y status code 200.</t>
        </is>
      </c>
      <c r="H21" s="168" t="inlineStr">
        <is>
          <t>Negativa</t>
        </is>
      </c>
      <c r="I21" s="169" t="inlineStr">
        <is>
          <t>Verificar que los mensajes de error sean los esperados y que se correspondan con la documentación.</t>
        </is>
      </c>
    </row>
    <row r="22">
      <c r="A22" s="167" t="inlineStr">
        <is>
          <t>validateOTP - Flujo exitoso</t>
        </is>
      </c>
      <c r="B22" s="168" t="inlineStr">
        <is>
          <t>VO_005</t>
        </is>
      </c>
      <c r="C22" s="168" t="inlineStr">
        <is>
          <t>Flujo Exitoso</t>
        </is>
      </c>
      <c r="D22" s="168" t="inlineStr">
        <is>
          <t>Verificar que el servicio retorne una respuesta exitosa cuando todas las validaciones son correctas.</t>
        </is>
      </c>
      <c r="E22" s="168" t="inlineStr">
        <is>
          <t>1. Enviar request a /validateOTP con datos válidos.</t>
        </is>
      </c>
      <c r="F22" s="168" t="inlineStr">
        <is>
          <t>Flujo completo del servicio.</t>
        </is>
      </c>
      <c r="G22" s="168" t="inlineStr">
        <is>
          <t>1. El servicio retorna una respuesta con validationResult = true, status code 200 y el campo infoAccountsList contiene la lista de cuentas.</t>
        </is>
      </c>
      <c r="H22" s="168" t="inlineStr">
        <is>
          <t>Positiva</t>
        </is>
      </c>
      <c r="I22" s="169" t="inlineStr">
        <is>
          <t>Verificar que la lista de cuentas sea la esperada y que contenga los datos correctos.</t>
        </is>
      </c>
    </row>
    <row r="23">
      <c r="A23" s="167" t="inlineStr">
        <is>
          <t>resendOTP - Campos obligatorios</t>
        </is>
      </c>
      <c r="B23" s="168" t="inlineStr">
        <is>
          <t>RO_001</t>
        </is>
      </c>
      <c r="C23" s="168" t="inlineStr">
        <is>
          <t>Validación de Request</t>
        </is>
      </c>
      <c r="D23" s="168" t="inlineStr">
        <is>
          <t>Verificar que el servicio retorne error cuando faltan campos obligatorios en el request.</t>
        </is>
      </c>
      <c r="E23" s="168" t="inlineStr">
        <is>
          <t>1. Enviar request a /resendOTP sin el campo 'contextTransaction'.
2. Enviar request a /resendOTP sin el campo 'credential'.
3. Enviar request a /resendOTP sin el campo 'trazabilityCode'.
4. Enviar request a /resendOTP con 'contextTransaction' vacío.
5. Enviar request a /resendOTP con 'credential' vacío.</t>
        </is>
      </c>
      <c r="F23" s="168" t="inlineStr">
        <is>
          <t>Validación de campos obligatorios en el request.</t>
        </is>
      </c>
      <c r="G23" s="168" t="inlineStr">
        <is>
          <t>1. El servicio retorna error E062 y status code 400.
2. El servicio retorna error E062 y status code 400.
3. El servicio retorna error E062 y status code 400.
4. El servicio retorna error E062 y status code 400.
5. El servicio retorna error E062 y status code 400.</t>
        </is>
      </c>
      <c r="H23" s="168" t="inlineStr">
        <is>
          <t>Negativa</t>
        </is>
      </c>
      <c r="I23" s="170" t="inlineStr">
        <is>
          <t>Verificar que el mensaje de error sea claro y descriptivo.</t>
        </is>
      </c>
    </row>
    <row r="24">
      <c r="A24" s="167" t="inlineStr">
        <is>
          <t>resendOTP - Obtener información del cliente</t>
        </is>
      </c>
      <c r="B24" s="168" t="inlineStr">
        <is>
          <t>RO_002</t>
        </is>
      </c>
      <c r="C24" s="168" t="inlineStr">
        <is>
          <t>Obtención de datos del cliente</t>
        </is>
      </c>
      <c r="D24" s="168" t="inlineStr">
        <is>
          <t>Verificar que el servicio retorne los errores correspondientes al obtener la información del cliente desde la base de datos.</t>
        </is>
      </c>
      <c r="E24" s="168" t="inlineStr">
        <is>
          <t>1. Enviar request a /resendOTP que genere error E063 (Campos obligatorios) en PRD_GET_CUSTOMER_PSE.
2. Enviar request a /resendOTP para un cliente no encontrado (E064) en PRD_GET_CUSTOMER_PSE.
3. Enviar request a /resendOTP para un cliente sin contacto registrado (E065) en PRD_GET_CUSTOMER_PSE.
4. Enviar request a /resendOTP para un cliente con formatos de contacto inválidos (E066) en PRD_GET_CUSTOMER_PSE.
5. Enviar request a /resendOTP que genere error E067 (Error técnico) en PRD_GET_CUSTOMER_PSE.</t>
        </is>
      </c>
      <c r="F24" s="168" t="inlineStr">
        <is>
          <t>Obtención de información del cliente desde la base de datos.</t>
        </is>
      </c>
      <c r="G24" s="168" t="inlineStr">
        <is>
          <t>1. El servicio retorna error E063 y status code 400.
2. El servicio retorna error E064 y status code 404.
3. El servicio retorna error E065 y status code 200.
4. El servicio retorna error E066 y status code 400.
5. El servicio retorna error E067 y status code 500.</t>
        </is>
      </c>
      <c r="H24" s="168" t="inlineStr">
        <is>
          <t>Negativa</t>
        </is>
      </c>
      <c r="I24" s="170" t="inlineStr">
        <is>
          <t>Verificar que los mensajes de error sean los esperados y que se correspondan con la documentación.</t>
        </is>
      </c>
    </row>
    <row r="25">
      <c r="A25" s="167" t="inlineStr">
        <is>
          <t>resendOTP - Envío de OTP</t>
        </is>
      </c>
      <c r="B25" s="168" t="inlineStr">
        <is>
          <t>RO_003</t>
        </is>
      </c>
      <c r="C25" s="168" t="inlineStr">
        <is>
          <t>Envío de OTP</t>
        </is>
      </c>
      <c r="D25" s="168" t="inlineStr">
        <is>
          <t>Verificar que el servicio retorne los errores correspondientes al enviar el OTP.</t>
        </is>
      </c>
      <c r="E25" s="168" t="inlineStr">
        <is>
          <t>1. Enviar request a /resendOTP que genere error E070 (Timeout) al consumir SrvIntOTPDiffuser.
2. Enviar request a /resendOTP que genere error E071 (Error técnico) al consumir SrvIntOTPDiffuser.
3. Enviar request a /resendOTP que genere error E072 (OTP bloqueado) al consumir SrvIntOTPDiffuser.</t>
        </is>
      </c>
      <c r="F25" s="168" t="inlineStr">
        <is>
          <t>Envío de OTP a través de SrvIntOTPDiffuser.</t>
        </is>
      </c>
      <c r="G25" s="168" t="inlineStr">
        <is>
          <t>1. El servicio retorna error E070 y status code 408.
2. El servicio retorna error E071 y status code 500.
3. El servicio retorna error E072 y status code 200.</t>
        </is>
      </c>
      <c r="H25" s="168" t="inlineStr">
        <is>
          <t>Negativa</t>
        </is>
      </c>
      <c r="I25" s="170" t="inlineStr">
        <is>
          <t>Verificar que los mensajes de error sean los esperados y que se correspondan con la documentación.</t>
        </is>
      </c>
    </row>
    <row r="26">
      <c r="A26" s="167" t="inlineStr">
        <is>
          <t>resendOTP - Flujo exitoso</t>
        </is>
      </c>
      <c r="B26" s="168" t="inlineStr">
        <is>
          <t>RO_004</t>
        </is>
      </c>
      <c r="C26" s="168" t="inlineStr">
        <is>
          <t>Flujo Exitoso</t>
        </is>
      </c>
      <c r="D26" s="168" t="inlineStr">
        <is>
          <t>Verificar que el servicio retorne una respuesta exitosa cuando todas las validaciones son correctas.</t>
        </is>
      </c>
      <c r="E26" s="168" t="inlineStr">
        <is>
          <t>1. Enviar request a /resendOTP con datos válidos.</t>
        </is>
      </c>
      <c r="F26" s="168" t="inlineStr">
        <is>
          <t>Flujo completo del servicio.</t>
        </is>
      </c>
      <c r="G26" s="168" t="inlineStr">
        <is>
          <t>1. El servicio retorna una respuesta con validationResult = true, status code 200 y el campo otpMessage contiene el mensaje con los datos enmascarados.</t>
        </is>
      </c>
      <c r="H26" s="168" t="inlineStr">
        <is>
          <t>Positiva</t>
        </is>
      </c>
      <c r="I26" s="170" t="inlineStr">
        <is>
          <t>Verificar que el mensaje de OTP sea el esperado y que contenga los datos enmascarados correctamente.</t>
        </is>
      </c>
    </row>
    <row r="27">
      <c r="A27" s="167" t="inlineStr">
        <is>
          <t>General - Manejo de errores genéricos</t>
        </is>
      </c>
      <c r="B27" s="168" t="inlineStr">
        <is>
          <t>GE_001</t>
        </is>
      </c>
      <c r="C27" s="168" t="inlineStr">
        <is>
          <t>Manejo de errores</t>
        </is>
      </c>
      <c r="D27" s="168" t="inlineStr">
        <is>
          <t>Verificar que el servicio retorne un error genérico cuando ocurre una excepción no controlada.</t>
        </is>
      </c>
      <c r="E27" s="168" t="inlineStr">
        <is>
          <t>1. Simular una excepción no controlada en el método validateCredentials.
2. Simular una excepción no controlada en el método validateOTP.
3. Simular una excepción no controlada en el método resendOTP.</t>
        </is>
      </c>
      <c r="F27" s="168" t="inlineStr">
        <is>
          <t>Manejo de excepciones no controladas.</t>
        </is>
      </c>
      <c r="G27" s="168" t="inlineStr">
        <is>
          <t>1. El servicio retorna error E074 y status code 400 en validateCredentials.
2. El servicio retorna error E075 y status code 400 en validateOTP.
3. El servicio retorna error E076 y status code 400 en resendOTP.</t>
        </is>
      </c>
      <c r="H27" s="168" t="inlineStr">
        <is>
          <t>Negativa</t>
        </is>
      </c>
      <c r="I27" s="170" t="inlineStr">
        <is>
          <t>Verificar que el mensaje de error sea el esperado y que se corresponda con la documentación.</t>
        </is>
      </c>
    </row>
    <row r="28">
      <c r="A28" s="167" t="inlineStr">
        <is>
          <t>Detalles Técnicos - SLD</t>
        </is>
      </c>
      <c r="B28" s="168" t="inlineStr">
        <is>
          <t>DT_001</t>
        </is>
      </c>
      <c r="C28" s="168" t="inlineStr">
        <is>
          <t>Capacidad Ofrecida</t>
        </is>
      </c>
      <c r="D28" s="168" t="inlineStr">
        <is>
          <t>Verificar el cumplimiento de los compromisos de servicio definidos en el SLD.</t>
        </is>
      </c>
      <c r="E28" s="168" t="inlineStr">
        <is>
          <t>1. Medir el tiempo de respuesta del servicio bajo carga normal (7am-7pm).
2. Medir el tiempo de respuesta del servicio bajo carga alta (Horario Operaciones fuertes).
3. Enviar requests de diferentes tamaños (menor a 10KB, menor a 64KB, menor a 128KB, mayor a 128KB).
4. Verificar la disponibilidad del servicio en diferentes momentos.</t>
        </is>
      </c>
      <c r="F28" s="168" t="inlineStr">
        <is>
          <t>Cumplimiento de los compromisos de servicio (tiempo de respuesta, tamaño del request, disponibilidad).</t>
        </is>
      </c>
      <c r="G28" s="168" t="inlineStr">
        <is>
          <t>1. El tiempo de respuesta debe ser menor a 5 segundos.
2. El tiempo de respuesta debe ser menor a 10 segundos.
3. El servicio debe procesar los requests sin errores.
4. El servicio debe estar disponible 7x24.</t>
        </is>
      </c>
      <c r="H28" s="168" t="inlineStr">
        <is>
          <t>Performance/Carga</t>
        </is>
      </c>
      <c r="I28" s="170" t="inlineStr">
        <is>
          <t>Realizar pruebas de carga para simular el comportamiento del servicio en condiciones reales.</t>
        </is>
      </c>
    </row>
    <row r="29">
      <c r="A29" s="167" t="inlineStr">
        <is>
          <t>Detalles Técnicos - Seguridad</t>
        </is>
      </c>
      <c r="B29" s="168" t="inlineStr">
        <is>
          <t>DT_002</t>
        </is>
      </c>
      <c r="C29" s="168" t="inlineStr">
        <is>
          <t>Seguridad</t>
        </is>
      </c>
      <c r="D29" s="168" t="inlineStr">
        <is>
          <t>Verificar el cumplimiento de los mecanismos de seguridad definidos.</t>
        </is>
      </c>
      <c r="E29" s="168" t="inlineStr">
        <is>
          <t>1. Enviar requests a través de HTTP sin TLS/SSL.
2. Enviar requests con TLS/SSL 1.1 o inferior.
3. Enviar requests sin el certificado de CA Interna.
4. Enviar requests sin el timestamp de Ws-security.</t>
        </is>
      </c>
      <c r="F29" s="168" t="inlineStr">
        <is>
          <t>Mecanismos de seguridad (Transporte, TLS, Seguridad en Request).</t>
        </is>
      </c>
      <c r="G29" s="168" t="inlineStr">
        <is>
          <t>1. El servicio debe rechazar los requests.
2. El servicio debe rechazar los requests.
3. El servicio debe rechazar los requests.
4. El servicio debe rechazar los requests.</t>
        </is>
      </c>
      <c r="H29" s="168" t="inlineStr">
        <is>
          <t>Seguridad</t>
        </is>
      </c>
      <c r="I29" s="170" t="inlineStr">
        <is>
          <t>Verificar que los mecanismos de seguridad estén implementados correctamente.</t>
        </is>
      </c>
    </row>
    <row r="30">
      <c r="A30" s="93" t="n"/>
      <c r="B30" s="85" t="n"/>
      <c r="C30" s="85" t="n"/>
      <c r="D30" s="84" t="n"/>
      <c r="E30" s="84" t="n"/>
      <c r="F30" s="84" t="n"/>
      <c r="G30" s="84" t="n"/>
      <c r="H30" s="85" t="n"/>
    </row>
  </sheetData>
  <mergeCells count="5">
    <mergeCell ref="A5:I5"/>
    <mergeCell ref="H7:I7"/>
    <mergeCell ref="A1:I3"/>
    <mergeCell ref="A6:I6"/>
    <mergeCell ref="D7:F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Hoja7">
    <outlinePr summaryBelow="1" summaryRight="1"/>
    <pageSetUpPr/>
  </sheetPr>
  <dimension ref="B1:GP49"/>
  <sheetViews>
    <sheetView topLeftCell="A2" zoomScale="80" zoomScaleNormal="80" workbookViewId="0">
      <pane ySplit="3" topLeftCell="A5" activePane="bottomLeft" state="frozen"/>
      <selection activeCell="A2" sqref="A2"/>
      <selection pane="bottomLeft" activeCell="C8" sqref="C8"/>
    </sheetView>
  </sheetViews>
  <sheetFormatPr baseColWidth="10" defaultColWidth="11.44140625" defaultRowHeight="13.2"/>
  <cols>
    <col width="2.6640625" customWidth="1" min="1" max="1"/>
    <col width="30.109375" bestFit="1" customWidth="1" min="2" max="2"/>
    <col width="12.33203125" bestFit="1" customWidth="1" min="4" max="4"/>
    <col width="15.5546875" customWidth="1" min="6" max="6"/>
    <col width="12.33203125" bestFit="1" customWidth="1" min="7" max="7"/>
    <col width="6.88671875" customWidth="1" min="8" max="8"/>
    <col width="9.6640625" customWidth="1" min="9" max="9"/>
    <col width="6.88671875" customWidth="1" min="10" max="10"/>
    <col width="6.88671875" customWidth="1" min="12" max="12"/>
    <col width="6.88671875" customWidth="1" min="14" max="14"/>
    <col width="12.44140625" bestFit="1" customWidth="1" min="16" max="16"/>
    <col width="15.109375" customWidth="1" min="17" max="17"/>
    <col width="17.44140625" customWidth="1" min="20" max="20"/>
  </cols>
  <sheetData>
    <row r="1" ht="15" customHeight="1" thickBot="1"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>
      <c r="B2" s="171" t="inlineStr">
        <is>
          <t xml:space="preserve">Análisis de Resultados 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3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  <c r="AJ2" s="30" t="n"/>
      <c r="AK2" s="30" t="n"/>
      <c r="AL2" s="30" t="n"/>
      <c r="AM2" s="30" t="n"/>
      <c r="AN2" s="30" t="n"/>
      <c r="AO2" s="30" t="n"/>
      <c r="AP2" s="30" t="n"/>
      <c r="AQ2" s="30" t="n"/>
      <c r="AR2" s="30" t="n"/>
      <c r="AS2" s="30" t="n"/>
      <c r="AT2" s="30" t="n"/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 t="n"/>
      <c r="BH2" s="30" t="n"/>
      <c r="BI2" s="30" t="n"/>
      <c r="BJ2" s="30" t="n"/>
      <c r="BK2" s="30" t="n"/>
      <c r="BL2" s="30" t="n"/>
      <c r="BM2" s="30" t="n"/>
      <c r="BN2" s="30" t="n"/>
      <c r="BO2" s="30" t="n"/>
      <c r="BP2" s="30" t="n"/>
      <c r="BQ2" s="30" t="n"/>
      <c r="BR2" s="30" t="n"/>
      <c r="BS2" s="30" t="n"/>
      <c r="BT2" s="30" t="n"/>
      <c r="BU2" s="30" t="n"/>
      <c r="BV2" s="30" t="n"/>
      <c r="BW2" s="30" t="n"/>
      <c r="BX2" s="30" t="n"/>
      <c r="BY2" s="30" t="n"/>
      <c r="BZ2" s="30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0" t="n"/>
      <c r="DG2" s="30" t="n"/>
      <c r="DH2" s="30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  <c r="DR2" s="30" t="n"/>
      <c r="DS2" s="30" t="n"/>
      <c r="DT2" s="30" t="n"/>
      <c r="DU2" s="30" t="n"/>
      <c r="DV2" s="30" t="n"/>
      <c r="DW2" s="30" t="n"/>
      <c r="DX2" s="30" t="n"/>
      <c r="DY2" s="30" t="n"/>
      <c r="DZ2" s="30" t="n"/>
      <c r="EA2" s="30" t="n"/>
      <c r="EB2" s="30" t="n"/>
      <c r="EC2" s="30" t="n"/>
      <c r="ED2" s="30" t="n"/>
      <c r="EE2" s="30" t="n"/>
      <c r="EF2" s="30" t="n"/>
      <c r="EG2" s="30" t="n"/>
      <c r="EH2" s="30" t="n"/>
      <c r="EI2" s="30" t="n"/>
      <c r="EJ2" s="30" t="n"/>
      <c r="EK2" s="30" t="n"/>
      <c r="EL2" s="30" t="n"/>
      <c r="EM2" s="30" t="n"/>
      <c r="EN2" s="30" t="n"/>
      <c r="EO2" s="30" t="n"/>
      <c r="EP2" s="30" t="n"/>
      <c r="EQ2" s="30" t="n"/>
      <c r="ER2" s="30" t="n"/>
      <c r="ES2" s="30" t="n"/>
      <c r="ET2" s="30" t="n"/>
      <c r="EU2" s="30" t="n"/>
      <c r="EV2" s="30" t="n"/>
      <c r="EW2" s="30" t="n"/>
      <c r="EX2" s="30" t="n"/>
      <c r="EY2" s="30" t="n"/>
      <c r="EZ2" s="30" t="n"/>
      <c r="FA2" s="30" t="n"/>
      <c r="FB2" s="30" t="n"/>
      <c r="FC2" s="30" t="n"/>
      <c r="FD2" s="30" t="n"/>
      <c r="FE2" s="30" t="n"/>
      <c r="FF2" s="30" t="n"/>
      <c r="FG2" s="30" t="n"/>
      <c r="FH2" s="30" t="n"/>
      <c r="FI2" s="30" t="n"/>
      <c r="FJ2" s="30" t="n"/>
      <c r="FK2" s="30" t="n"/>
      <c r="FL2" s="30" t="n"/>
      <c r="FM2" s="30" t="n"/>
      <c r="FN2" s="30" t="n"/>
      <c r="FO2" s="30" t="n"/>
      <c r="FP2" s="30" t="n"/>
      <c r="FQ2" s="30" t="n"/>
      <c r="FR2" s="30" t="n"/>
      <c r="FS2" s="30" t="n"/>
      <c r="FT2" s="30" t="n"/>
      <c r="FU2" s="30" t="n"/>
      <c r="FV2" s="30" t="n"/>
      <c r="FW2" s="30" t="n"/>
      <c r="FX2" s="30" t="n"/>
      <c r="FY2" s="30" t="n"/>
      <c r="FZ2" s="30" t="n"/>
      <c r="GA2" s="30" t="n"/>
      <c r="GB2" s="30" t="n"/>
      <c r="GC2" s="30" t="n"/>
      <c r="GD2" s="30" t="n"/>
      <c r="GE2" s="30" t="n"/>
      <c r="GF2" s="30" t="n"/>
      <c r="GG2" s="30" t="n"/>
      <c r="GH2" s="30" t="n"/>
      <c r="GI2" s="30" t="n"/>
      <c r="GJ2" s="30" t="n"/>
      <c r="GK2" s="30" t="n"/>
      <c r="GL2" s="30" t="n"/>
      <c r="GM2" s="30" t="n"/>
      <c r="GN2" s="30" t="n"/>
      <c r="GO2" s="30" t="n"/>
      <c r="GP2" s="30" t="n"/>
    </row>
    <row r="3">
      <c r="B3" s="154" t="n"/>
      <c r="T3" s="155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  <c r="DS3" s="30" t="n"/>
      <c r="DT3" s="30" t="n"/>
      <c r="DU3" s="30" t="n"/>
      <c r="DV3" s="30" t="n"/>
      <c r="DW3" s="30" t="n"/>
      <c r="DX3" s="30" t="n"/>
      <c r="DY3" s="30" t="n"/>
      <c r="DZ3" s="30" t="n"/>
      <c r="EA3" s="30" t="n"/>
      <c r="EB3" s="30" t="n"/>
      <c r="EC3" s="30" t="n"/>
      <c r="ED3" s="30" t="n"/>
      <c r="EE3" s="30" t="n"/>
      <c r="EF3" s="30" t="n"/>
      <c r="EG3" s="30" t="n"/>
      <c r="EH3" s="30" t="n"/>
      <c r="EI3" s="30" t="n"/>
      <c r="EJ3" s="30" t="n"/>
      <c r="EK3" s="30" t="n"/>
      <c r="EL3" s="30" t="n"/>
      <c r="EM3" s="30" t="n"/>
      <c r="EN3" s="30" t="n"/>
      <c r="EO3" s="30" t="n"/>
      <c r="EP3" s="30" t="n"/>
      <c r="EQ3" s="30" t="n"/>
      <c r="ER3" s="30" t="n"/>
      <c r="ES3" s="30" t="n"/>
      <c r="ET3" s="30" t="n"/>
      <c r="EU3" s="30" t="n"/>
      <c r="EV3" s="30" t="n"/>
      <c r="EW3" s="30" t="n"/>
      <c r="EX3" s="30" t="n"/>
      <c r="EY3" s="30" t="n"/>
      <c r="EZ3" s="30" t="n"/>
      <c r="FA3" s="30" t="n"/>
      <c r="FB3" s="30" t="n"/>
      <c r="FC3" s="30" t="n"/>
      <c r="FD3" s="30" t="n"/>
      <c r="FE3" s="30" t="n"/>
      <c r="FF3" s="30" t="n"/>
      <c r="FG3" s="30" t="n"/>
      <c r="FH3" s="30" t="n"/>
      <c r="FI3" s="30" t="n"/>
      <c r="FJ3" s="30" t="n"/>
      <c r="FK3" s="30" t="n"/>
      <c r="FL3" s="30" t="n"/>
      <c r="FM3" s="30" t="n"/>
      <c r="FN3" s="30" t="n"/>
      <c r="FO3" s="30" t="n"/>
      <c r="FP3" s="30" t="n"/>
      <c r="FQ3" s="30" t="n"/>
      <c r="FR3" s="30" t="n"/>
      <c r="FS3" s="30" t="n"/>
      <c r="FT3" s="30" t="n"/>
      <c r="FU3" s="30" t="n"/>
      <c r="FV3" s="30" t="n"/>
      <c r="FW3" s="30" t="n"/>
      <c r="FX3" s="30" t="n"/>
      <c r="FY3" s="30" t="n"/>
      <c r="FZ3" s="30" t="n"/>
      <c r="GA3" s="30" t="n"/>
      <c r="GB3" s="30" t="n"/>
      <c r="GC3" s="30" t="n"/>
      <c r="GD3" s="30" t="n"/>
      <c r="GE3" s="30" t="n"/>
      <c r="GF3" s="30" t="n"/>
      <c r="GG3" s="30" t="n"/>
      <c r="GH3" s="30" t="n"/>
      <c r="GI3" s="30" t="n"/>
      <c r="GJ3" s="30" t="n"/>
      <c r="GK3" s="30" t="n"/>
      <c r="GL3" s="30" t="n"/>
      <c r="GM3" s="30" t="n"/>
      <c r="GN3" s="30" t="n"/>
      <c r="GO3" s="30" t="n"/>
      <c r="GP3" s="30" t="n"/>
    </row>
    <row r="4" ht="7.5" customHeight="1" thickBot="1">
      <c r="B4" s="172" t="n"/>
      <c r="C4" s="173" t="n"/>
      <c r="D4" s="173" t="n"/>
      <c r="E4" s="173" t="n"/>
      <c r="F4" s="173" t="n"/>
      <c r="G4" s="173" t="n"/>
      <c r="H4" s="173" t="n"/>
      <c r="I4" s="173" t="n"/>
      <c r="J4" s="173" t="n"/>
      <c r="K4" s="173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4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 t="n"/>
      <c r="BH4" s="30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0" t="n"/>
      <c r="DQ4" s="30" t="n"/>
      <c r="DR4" s="30" t="n"/>
      <c r="DS4" s="30" t="n"/>
      <c r="DT4" s="30" t="n"/>
      <c r="DU4" s="30" t="n"/>
      <c r="DV4" s="30" t="n"/>
      <c r="DW4" s="30" t="n"/>
      <c r="DX4" s="30" t="n"/>
      <c r="DY4" s="30" t="n"/>
      <c r="DZ4" s="30" t="n"/>
      <c r="EA4" s="30" t="n"/>
      <c r="EB4" s="30" t="n"/>
      <c r="EC4" s="30" t="n"/>
      <c r="ED4" s="30" t="n"/>
      <c r="EE4" s="30" t="n"/>
      <c r="EF4" s="30" t="n"/>
      <c r="EG4" s="30" t="n"/>
      <c r="EH4" s="30" t="n"/>
      <c r="EI4" s="30" t="n"/>
      <c r="EJ4" s="30" t="n"/>
      <c r="EK4" s="30" t="n"/>
      <c r="EL4" s="30" t="n"/>
      <c r="EM4" s="30" t="n"/>
      <c r="EN4" s="30" t="n"/>
      <c r="EO4" s="30" t="n"/>
      <c r="EP4" s="30" t="n"/>
      <c r="EQ4" s="30" t="n"/>
      <c r="ER4" s="30" t="n"/>
      <c r="ES4" s="30" t="n"/>
      <c r="ET4" s="30" t="n"/>
      <c r="EU4" s="30" t="n"/>
      <c r="EV4" s="30" t="n"/>
      <c r="EW4" s="30" t="n"/>
      <c r="EX4" s="30" t="n"/>
      <c r="EY4" s="30" t="n"/>
      <c r="EZ4" s="30" t="n"/>
      <c r="FA4" s="30" t="n"/>
      <c r="FB4" s="30" t="n"/>
      <c r="FC4" s="30" t="n"/>
      <c r="FD4" s="30" t="n"/>
      <c r="FE4" s="30" t="n"/>
      <c r="FF4" s="30" t="n"/>
      <c r="FG4" s="30" t="n"/>
      <c r="FH4" s="30" t="n"/>
      <c r="FI4" s="30" t="n"/>
      <c r="FJ4" s="30" t="n"/>
      <c r="FK4" s="30" t="n"/>
      <c r="FL4" s="30" t="n"/>
      <c r="FM4" s="30" t="n"/>
      <c r="FN4" s="30" t="n"/>
      <c r="FO4" s="30" t="n"/>
      <c r="FP4" s="30" t="n"/>
      <c r="FQ4" s="30" t="n"/>
      <c r="FR4" s="30" t="n"/>
      <c r="FS4" s="30" t="n"/>
      <c r="FT4" s="30" t="n"/>
      <c r="FU4" s="30" t="n"/>
      <c r="FV4" s="30" t="n"/>
      <c r="FW4" s="30" t="n"/>
      <c r="FX4" s="30" t="n"/>
      <c r="FY4" s="30" t="n"/>
      <c r="FZ4" s="30" t="n"/>
      <c r="GA4" s="30" t="n"/>
      <c r="GB4" s="30" t="n"/>
      <c r="GC4" s="30" t="n"/>
      <c r="GD4" s="30" t="n"/>
      <c r="GE4" s="30" t="n"/>
      <c r="GF4" s="30" t="n"/>
      <c r="GG4" s="30" t="n"/>
      <c r="GH4" s="30" t="n"/>
      <c r="GI4" s="30" t="n"/>
      <c r="GJ4" s="30" t="n"/>
      <c r="GK4" s="30" t="n"/>
      <c r="GL4" s="30" t="n"/>
      <c r="GM4" s="30" t="n"/>
      <c r="GN4" s="30" t="n"/>
      <c r="GO4" s="30" t="n"/>
      <c r="GP4" s="30" t="n"/>
    </row>
    <row r="5" ht="13.8" customHeight="1" thickBot="1">
      <c r="B5" s="41" t="inlineStr">
        <is>
          <t>Análisis de Resultados IT I</t>
        </is>
      </c>
      <c r="C5" s="42" t="n"/>
      <c r="D5" s="43" t="n"/>
      <c r="E5" s="43" t="n"/>
      <c r="F5" s="42" t="n"/>
      <c r="G5" s="43" t="n"/>
      <c r="H5" s="43" t="n"/>
      <c r="I5" s="42" t="n"/>
      <c r="J5" s="43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5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0" t="n"/>
      <c r="BJ5" s="30" t="n"/>
      <c r="BK5" s="30" t="n"/>
      <c r="BL5" s="30" t="n"/>
      <c r="BM5" s="30" t="n"/>
      <c r="BN5" s="30" t="n"/>
      <c r="BO5" s="30" t="n"/>
      <c r="BP5" s="30" t="n"/>
      <c r="BQ5" s="30" t="n"/>
      <c r="BR5" s="30" t="n"/>
      <c r="BS5" s="30" t="n"/>
      <c r="BT5" s="30" t="n"/>
      <c r="BU5" s="30" t="n"/>
      <c r="BV5" s="30" t="n"/>
      <c r="BW5" s="30" t="n"/>
      <c r="BX5" s="30" t="n"/>
      <c r="BY5" s="30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0" t="n"/>
      <c r="DR5" s="30" t="n"/>
      <c r="DS5" s="30" t="n"/>
      <c r="DT5" s="30" t="n"/>
      <c r="DU5" s="30" t="n"/>
      <c r="DV5" s="30" t="n"/>
      <c r="DW5" s="30" t="n"/>
      <c r="DX5" s="30" t="n"/>
      <c r="DY5" s="30" t="n"/>
      <c r="DZ5" s="30" t="n"/>
      <c r="EA5" s="30" t="n"/>
      <c r="EB5" s="30" t="n"/>
      <c r="EC5" s="30" t="n"/>
      <c r="ED5" s="30" t="n"/>
      <c r="EE5" s="30" t="n"/>
      <c r="EF5" s="30" t="n"/>
      <c r="EG5" s="30" t="n"/>
      <c r="EH5" s="30" t="n"/>
      <c r="EI5" s="30" t="n"/>
      <c r="EJ5" s="30" t="n"/>
      <c r="EK5" s="30" t="n"/>
      <c r="EL5" s="30" t="n"/>
      <c r="EM5" s="30" t="n"/>
      <c r="EN5" s="30" t="n"/>
      <c r="EO5" s="30" t="n"/>
      <c r="EP5" s="30" t="n"/>
      <c r="EQ5" s="30" t="n"/>
      <c r="ER5" s="30" t="n"/>
      <c r="ES5" s="30" t="n"/>
      <c r="ET5" s="30" t="n"/>
      <c r="EU5" s="30" t="n"/>
      <c r="EV5" s="30" t="n"/>
      <c r="EW5" s="30" t="n"/>
      <c r="EX5" s="30" t="n"/>
      <c r="EY5" s="30" t="n"/>
      <c r="EZ5" s="30" t="n"/>
      <c r="FA5" s="30" t="n"/>
      <c r="FB5" s="30" t="n"/>
      <c r="FC5" s="30" t="n"/>
      <c r="FD5" s="30" t="n"/>
      <c r="FE5" s="30" t="n"/>
      <c r="FF5" s="30" t="n"/>
      <c r="FG5" s="30" t="n"/>
      <c r="FH5" s="30" t="n"/>
      <c r="FI5" s="30" t="n"/>
      <c r="FJ5" s="30" t="n"/>
      <c r="FK5" s="30" t="n"/>
      <c r="FL5" s="30" t="n"/>
      <c r="FM5" s="30" t="n"/>
      <c r="FN5" s="30" t="n"/>
      <c r="FO5" s="30" t="n"/>
      <c r="FP5" s="30" t="n"/>
      <c r="FQ5" s="30" t="n"/>
      <c r="FR5" s="30" t="n"/>
      <c r="FS5" s="30" t="n"/>
      <c r="FT5" s="30" t="n"/>
      <c r="FU5" s="30" t="n"/>
      <c r="FV5" s="30" t="n"/>
      <c r="FW5" s="30" t="n"/>
      <c r="FX5" s="30" t="n"/>
      <c r="FY5" s="30" t="n"/>
      <c r="FZ5" s="30" t="n"/>
      <c r="GA5" s="30" t="n"/>
      <c r="GB5" s="30" t="n"/>
      <c r="GC5" s="30" t="n"/>
      <c r="GD5" s="30" t="n"/>
      <c r="GE5" s="30" t="n"/>
      <c r="GF5" s="30" t="n"/>
      <c r="GG5" s="30" t="n"/>
      <c r="GH5" s="30" t="n"/>
      <c r="GI5" s="30" t="n"/>
      <c r="GJ5" s="30" t="n"/>
      <c r="GK5" s="30" t="n"/>
      <c r="GL5" s="30" t="n"/>
      <c r="GM5" s="30" t="n"/>
      <c r="GN5" s="30" t="n"/>
      <c r="GO5" s="30" t="n"/>
      <c r="GP5" s="30" t="n"/>
    </row>
    <row r="6" ht="13.8" customHeight="1" thickBot="1">
      <c r="B6" s="9" t="inlineStr">
        <is>
          <t>Funcionalidad o Requerimiento</t>
        </is>
      </c>
      <c r="C6" s="9" t="inlineStr">
        <is>
          <t>Nro. Reqs Prueba</t>
        </is>
      </c>
      <c r="D6" s="9" t="inlineStr">
        <is>
          <t>No Conformidades</t>
        </is>
      </c>
      <c r="E6" s="175" t="n"/>
      <c r="F6" s="176" t="n"/>
      <c r="G6" s="9" t="inlineStr">
        <is>
          <t>NC Anulados</t>
        </is>
      </c>
      <c r="H6" s="177" t="inlineStr">
        <is>
          <t>Resultados</t>
        </is>
      </c>
      <c r="I6" s="152" t="n"/>
      <c r="J6" s="152" t="n"/>
      <c r="K6" s="152" t="n"/>
      <c r="L6" s="152" t="n"/>
      <c r="M6" s="152" t="n"/>
      <c r="N6" s="152" t="n"/>
      <c r="O6" s="153" t="n"/>
      <c r="P6" s="9" t="inlineStr">
        <is>
          <t>Correctitud</t>
        </is>
      </c>
      <c r="Q6" s="9" t="inlineStr">
        <is>
          <t>Densidad NC</t>
        </is>
      </c>
      <c r="R6" s="9" t="inlineStr">
        <is>
          <t>Confiab.</t>
        </is>
      </c>
      <c r="S6" s="9" t="inlineStr">
        <is>
          <t>Cobertura</t>
        </is>
      </c>
      <c r="T6" s="9" t="inlineStr">
        <is>
          <t>Observaciones</t>
        </is>
      </c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0" t="n"/>
      <c r="DQ6" s="30" t="n"/>
      <c r="DR6" s="30" t="n"/>
      <c r="DS6" s="30" t="n"/>
      <c r="DT6" s="30" t="n"/>
      <c r="DU6" s="30" t="n"/>
      <c r="DV6" s="30" t="n"/>
      <c r="DW6" s="30" t="n"/>
      <c r="DX6" s="30" t="n"/>
      <c r="DY6" s="30" t="n"/>
      <c r="DZ6" s="30" t="n"/>
      <c r="EA6" s="30" t="n"/>
      <c r="EB6" s="30" t="n"/>
      <c r="EC6" s="30" t="n"/>
      <c r="ED6" s="30" t="n"/>
      <c r="EE6" s="30" t="n"/>
      <c r="EF6" s="30" t="n"/>
      <c r="EG6" s="30" t="n"/>
      <c r="EH6" s="30" t="n"/>
      <c r="EI6" s="30" t="n"/>
      <c r="EJ6" s="30" t="n"/>
      <c r="EK6" s="30" t="n"/>
      <c r="EL6" s="30" t="n"/>
      <c r="EM6" s="30" t="n"/>
      <c r="EN6" s="30" t="n"/>
      <c r="EO6" s="30" t="n"/>
      <c r="EP6" s="30" t="n"/>
      <c r="EQ6" s="30" t="n"/>
      <c r="ER6" s="30" t="n"/>
      <c r="ES6" s="30" t="n"/>
      <c r="ET6" s="30" t="n"/>
      <c r="EU6" s="30" t="n"/>
      <c r="EV6" s="30" t="n"/>
      <c r="EW6" s="30" t="n"/>
      <c r="EX6" s="30" t="n"/>
      <c r="EY6" s="30" t="n"/>
      <c r="EZ6" s="30" t="n"/>
      <c r="FA6" s="30" t="n"/>
      <c r="FB6" s="30" t="n"/>
      <c r="FC6" s="30" t="n"/>
      <c r="FD6" s="30" t="n"/>
      <c r="FE6" s="30" t="n"/>
      <c r="FF6" s="30" t="n"/>
      <c r="FG6" s="30" t="n"/>
      <c r="FH6" s="30" t="n"/>
      <c r="FI6" s="30" t="n"/>
      <c r="FJ6" s="30" t="n"/>
      <c r="FK6" s="30" t="n"/>
      <c r="FL6" s="30" t="n"/>
      <c r="FM6" s="30" t="n"/>
      <c r="FN6" s="30" t="n"/>
      <c r="FO6" s="30" t="n"/>
      <c r="FP6" s="30" t="n"/>
      <c r="FQ6" s="30" t="n"/>
      <c r="FR6" s="30" t="n"/>
      <c r="FS6" s="30" t="n"/>
      <c r="FT6" s="30" t="n"/>
      <c r="FU6" s="30" t="n"/>
      <c r="FV6" s="30" t="n"/>
      <c r="FW6" s="30" t="n"/>
      <c r="FX6" s="30" t="n"/>
      <c r="FY6" s="30" t="n"/>
      <c r="FZ6" s="30" t="n"/>
      <c r="GA6" s="30" t="n"/>
      <c r="GB6" s="30" t="n"/>
      <c r="GC6" s="30" t="n"/>
      <c r="GD6" s="30" t="n"/>
      <c r="GE6" s="30" t="n"/>
      <c r="GF6" s="30" t="n"/>
      <c r="GG6" s="30" t="n"/>
      <c r="GH6" s="30" t="n"/>
      <c r="GI6" s="30" t="n"/>
      <c r="GJ6" s="30" t="n"/>
      <c r="GK6" s="30" t="n"/>
      <c r="GL6" s="30" t="n"/>
      <c r="GM6" s="30" t="n"/>
      <c r="GN6" s="30" t="n"/>
      <c r="GO6" s="30" t="n"/>
      <c r="GP6" s="30" t="n"/>
    </row>
    <row r="7" ht="13.8" customHeight="1" thickBot="1">
      <c r="B7" s="178" t="n"/>
      <c r="C7" s="178" t="n"/>
      <c r="D7" s="9" t="inlineStr">
        <is>
          <t>Bloqueante</t>
        </is>
      </c>
      <c r="E7" s="9" t="inlineStr">
        <is>
          <t>Funcional</t>
        </is>
      </c>
      <c r="F7" s="9" t="inlineStr">
        <is>
          <t>Presentación</t>
        </is>
      </c>
      <c r="G7" s="178" t="n"/>
      <c r="H7" s="179" t="inlineStr">
        <is>
          <t>Ejecutados</t>
        </is>
      </c>
      <c r="I7" s="180" t="n"/>
      <c r="J7" s="179" t="inlineStr">
        <is>
          <t>OK</t>
        </is>
      </c>
      <c r="K7" s="180" t="n"/>
      <c r="L7" s="148" t="inlineStr">
        <is>
          <t>NOK</t>
        </is>
      </c>
      <c r="M7" s="175" t="n"/>
      <c r="N7" s="181" t="inlineStr">
        <is>
          <t>PDTE</t>
        </is>
      </c>
      <c r="O7" s="176" t="n"/>
      <c r="P7" s="178" t="n"/>
      <c r="Q7" s="178" t="n"/>
      <c r="R7" s="178" t="n"/>
      <c r="S7" s="178" t="n"/>
      <c r="T7" s="178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0" t="n"/>
      <c r="DR7" s="30" t="n"/>
      <c r="DS7" s="30" t="n"/>
      <c r="DT7" s="30" t="n"/>
      <c r="DU7" s="30" t="n"/>
      <c r="DV7" s="30" t="n"/>
      <c r="DW7" s="30" t="n"/>
      <c r="DX7" s="30" t="n"/>
      <c r="DY7" s="30" t="n"/>
      <c r="DZ7" s="30" t="n"/>
      <c r="EA7" s="30" t="n"/>
      <c r="EB7" s="30" t="n"/>
      <c r="EC7" s="30" t="n"/>
      <c r="ED7" s="30" t="n"/>
      <c r="EE7" s="30" t="n"/>
      <c r="EF7" s="30" t="n"/>
      <c r="EG7" s="30" t="n"/>
      <c r="EH7" s="30" t="n"/>
      <c r="EI7" s="30" t="n"/>
      <c r="EJ7" s="30" t="n"/>
      <c r="EK7" s="30" t="n"/>
      <c r="EL7" s="30" t="n"/>
      <c r="EM7" s="30" t="n"/>
      <c r="EN7" s="30" t="n"/>
      <c r="EO7" s="30" t="n"/>
      <c r="EP7" s="30" t="n"/>
      <c r="EQ7" s="30" t="n"/>
      <c r="ER7" s="30" t="n"/>
      <c r="ES7" s="30" t="n"/>
      <c r="ET7" s="30" t="n"/>
      <c r="EU7" s="30" t="n"/>
      <c r="EV7" s="30" t="n"/>
      <c r="EW7" s="30" t="n"/>
      <c r="EX7" s="30" t="n"/>
      <c r="EY7" s="30" t="n"/>
      <c r="EZ7" s="30" t="n"/>
      <c r="FA7" s="30" t="n"/>
      <c r="FB7" s="30" t="n"/>
      <c r="FC7" s="30" t="n"/>
      <c r="FD7" s="30" t="n"/>
      <c r="FE7" s="30" t="n"/>
      <c r="FF7" s="30" t="n"/>
      <c r="FG7" s="30" t="n"/>
      <c r="FH7" s="30" t="n"/>
      <c r="FI7" s="30" t="n"/>
      <c r="FJ7" s="30" t="n"/>
      <c r="FK7" s="30" t="n"/>
      <c r="FL7" s="30" t="n"/>
      <c r="FM7" s="30" t="n"/>
      <c r="FN7" s="30" t="n"/>
      <c r="FO7" s="30" t="n"/>
      <c r="FP7" s="30" t="n"/>
      <c r="FQ7" s="30" t="n"/>
      <c r="FR7" s="30" t="n"/>
      <c r="FS7" s="30" t="n"/>
      <c r="FT7" s="30" t="n"/>
      <c r="FU7" s="30" t="n"/>
      <c r="FV7" s="30" t="n"/>
      <c r="FW7" s="30" t="n"/>
      <c r="FX7" s="30" t="n"/>
      <c r="FY7" s="30" t="n"/>
      <c r="FZ7" s="30" t="n"/>
      <c r="GA7" s="30" t="n"/>
      <c r="GB7" s="30" t="n"/>
      <c r="GC7" s="30" t="n"/>
      <c r="GD7" s="30" t="n"/>
      <c r="GE7" s="30" t="n"/>
      <c r="GF7" s="30" t="n"/>
      <c r="GG7" s="30" t="n"/>
      <c r="GH7" s="30" t="n"/>
      <c r="GI7" s="30" t="n"/>
      <c r="GJ7" s="30" t="n"/>
      <c r="GK7" s="30" t="n"/>
      <c r="GL7" s="30" t="n"/>
      <c r="GM7" s="30" t="n"/>
      <c r="GN7" s="30" t="n"/>
      <c r="GO7" s="30" t="n"/>
      <c r="GP7" s="30" t="n"/>
    </row>
    <row r="8" customFormat="1" s="29">
      <c r="B8" s="2">
        <f>IF(#REF!=0,"",#REF!)</f>
        <v/>
      </c>
      <c r="C8" s="3">
        <f>IF(COUNTIF(#REF!,"OK")+COUNTIF(#REF!,"NOK")+COUNTIF(#REF!,"PDTE")+COUNTIF(#REF!,"N/A")=0,"",COUNTIF(#REF!,"OK")+COUNTIF(#REF!,"NOK")+COUNTIF(#REF!,"PDTE")+COUNTIF(#REF!,"N/A"))</f>
        <v/>
      </c>
      <c r="D8" s="4" t="n"/>
      <c r="E8" s="4" t="n"/>
      <c r="F8" s="4" t="n"/>
      <c r="G8" s="3">
        <f>IF(COUNTIF(#REF!,"N/A")=0,"",COUNTIF(#REF!,"N/A"))</f>
        <v/>
      </c>
      <c r="H8" s="3">
        <f>IF(COUNTIF(#REF!,"OK")+COUNTIF(#REF!,"NOK")=0,"",COUNTIF(#REF!,"OK")+COUNTIF(#REF!,"NOK"))</f>
        <v/>
      </c>
      <c r="I8" s="26">
        <f>IF(OR(C8=" ",OR(H8="",H8=0)),"",H8/C8)</f>
        <v/>
      </c>
      <c r="J8" s="11">
        <f>IF(COUNTIF(#REF!,"OK")=0,"",COUNTIF(#REF!,"OK"))</f>
        <v/>
      </c>
      <c r="K8" s="26">
        <f>IF(OR(C8=" ",OR(J8="",J8=0)),"",J8/C8)</f>
        <v/>
      </c>
      <c r="L8" s="11">
        <f>IF(COUNTIF(#REF!,"NOK")=0,"",COUNTIF(#REF!,"NOK"))</f>
        <v/>
      </c>
      <c r="M8" s="27">
        <f>IF(OR(C8=" ",OR(L8="",L8=0)),"",L8/C8)</f>
        <v/>
      </c>
      <c r="N8" s="21">
        <f>IF(COUNTIF(#REF!,"PDTE")=0,"",COUNTIF(#REF!,"PDTE"))</f>
        <v/>
      </c>
      <c r="O8" s="26">
        <f>IF(OR(C8=" ",OR(N8="",N8=0)),"",N8/C8)</f>
        <v/>
      </c>
      <c r="P8" s="26">
        <f>IF(OR(H8=0,H8=""),"",SUM(J8)/H8)</f>
        <v/>
      </c>
      <c r="Q8" s="26">
        <f>IF(OR(H8=0,H8=""),"",SUM(D8:F8)/H8)</f>
        <v/>
      </c>
      <c r="R8" s="26">
        <f>IF(Q8="","",1-Q8)</f>
        <v/>
      </c>
      <c r="S8" s="26">
        <f>IF(OR(I8="",I8=0),"",I8)</f>
        <v/>
      </c>
      <c r="T8" s="2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  <c r="BI8" s="38" t="n"/>
      <c r="BJ8" s="38" t="n"/>
      <c r="BK8" s="38" t="n"/>
      <c r="BL8" s="38" t="n"/>
      <c r="BM8" s="38" t="n"/>
      <c r="BN8" s="38" t="n"/>
      <c r="BO8" s="38" t="n"/>
      <c r="BP8" s="38" t="n"/>
      <c r="BQ8" s="38" t="n"/>
      <c r="BR8" s="38" t="n"/>
      <c r="BS8" s="38" t="n"/>
      <c r="BT8" s="38" t="n"/>
      <c r="BU8" s="38" t="n"/>
      <c r="BV8" s="38" t="n"/>
      <c r="BW8" s="38" t="n"/>
      <c r="BX8" s="38" t="n"/>
      <c r="BY8" s="38" t="n"/>
      <c r="BZ8" s="38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  <c r="CO8" s="38" t="n"/>
      <c r="CP8" s="38" t="n"/>
      <c r="CQ8" s="38" t="n"/>
      <c r="CR8" s="38" t="n"/>
      <c r="CS8" s="38" t="n"/>
      <c r="CT8" s="38" t="n"/>
      <c r="CU8" s="38" t="n"/>
      <c r="CV8" s="38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38" t="n"/>
      <c r="DL8" s="38" t="n"/>
      <c r="DM8" s="38" t="n"/>
      <c r="DN8" s="38" t="n"/>
      <c r="DO8" s="38" t="n"/>
      <c r="DP8" s="38" t="n"/>
      <c r="DQ8" s="38" t="n"/>
      <c r="DR8" s="38" t="n"/>
      <c r="DS8" s="38" t="n"/>
      <c r="DT8" s="38" t="n"/>
      <c r="DU8" s="38" t="n"/>
      <c r="DV8" s="38" t="n"/>
      <c r="DW8" s="38" t="n"/>
      <c r="DX8" s="38" t="n"/>
      <c r="DY8" s="38" t="n"/>
      <c r="DZ8" s="38" t="n"/>
      <c r="EA8" s="38" t="n"/>
      <c r="EB8" s="38" t="n"/>
      <c r="EC8" s="38" t="n"/>
      <c r="ED8" s="38" t="n"/>
      <c r="EE8" s="38" t="n"/>
      <c r="EF8" s="38" t="n"/>
      <c r="EG8" s="38" t="n"/>
      <c r="EH8" s="38" t="n"/>
      <c r="EI8" s="38" t="n"/>
      <c r="EJ8" s="38" t="n"/>
      <c r="EK8" s="38" t="n"/>
      <c r="EL8" s="38" t="n"/>
      <c r="EM8" s="38" t="n"/>
      <c r="EN8" s="38" t="n"/>
      <c r="EO8" s="38" t="n"/>
      <c r="EP8" s="38" t="n"/>
      <c r="EQ8" s="38" t="n"/>
      <c r="ER8" s="38" t="n"/>
      <c r="ES8" s="38" t="n"/>
      <c r="ET8" s="38" t="n"/>
      <c r="EU8" s="38" t="n"/>
      <c r="EV8" s="38" t="n"/>
      <c r="EW8" s="38" t="n"/>
      <c r="EX8" s="38" t="n"/>
      <c r="EY8" s="38" t="n"/>
      <c r="EZ8" s="38" t="n"/>
      <c r="FA8" s="38" t="n"/>
      <c r="FB8" s="38" t="n"/>
      <c r="FC8" s="38" t="n"/>
      <c r="FD8" s="38" t="n"/>
      <c r="FE8" s="38" t="n"/>
      <c r="FF8" s="38" t="n"/>
      <c r="FG8" s="38" t="n"/>
      <c r="FH8" s="38" t="n"/>
      <c r="FI8" s="38" t="n"/>
      <c r="FJ8" s="38" t="n"/>
      <c r="FK8" s="38" t="n"/>
      <c r="FL8" s="38" t="n"/>
      <c r="FM8" s="38" t="n"/>
      <c r="FN8" s="38" t="n"/>
      <c r="FO8" s="38" t="n"/>
      <c r="FP8" s="38" t="n"/>
      <c r="FQ8" s="38" t="n"/>
      <c r="FR8" s="38" t="n"/>
      <c r="FS8" s="38" t="n"/>
      <c r="FT8" s="38" t="n"/>
      <c r="FU8" s="38" t="n"/>
      <c r="FV8" s="38" t="n"/>
      <c r="FW8" s="38" t="n"/>
      <c r="FX8" s="38" t="n"/>
      <c r="FY8" s="38" t="n"/>
      <c r="FZ8" s="38" t="n"/>
      <c r="GA8" s="38" t="n"/>
      <c r="GB8" s="38" t="n"/>
      <c r="GC8" s="38" t="n"/>
      <c r="GD8" s="38" t="n"/>
      <c r="GE8" s="38" t="n"/>
      <c r="GF8" s="38" t="n"/>
      <c r="GG8" s="38" t="n"/>
      <c r="GH8" s="38" t="n"/>
      <c r="GI8" s="38" t="n"/>
      <c r="GJ8" s="38" t="n"/>
      <c r="GK8" s="38" t="n"/>
      <c r="GL8" s="38" t="n"/>
      <c r="GM8" s="38" t="n"/>
      <c r="GN8" s="38" t="n"/>
      <c r="GO8" s="38" t="n"/>
      <c r="GP8" s="38" t="n"/>
    </row>
    <row r="9" customFormat="1" s="7">
      <c r="B9" s="2" t="n"/>
      <c r="C9" s="4" t="n"/>
      <c r="D9" s="4" t="n"/>
      <c r="E9" s="4" t="n"/>
      <c r="F9" s="4" t="n"/>
      <c r="G9" s="4" t="n"/>
      <c r="H9" s="4" t="n"/>
      <c r="I9" s="6">
        <f>IF(OR(C9=" ",OR(H9="",H9="")),"",H9/C9)</f>
        <v/>
      </c>
      <c r="J9" s="12" t="n"/>
      <c r="K9" s="6">
        <f>IF(OR(C9="",OR(J9="")),"",J9/C9)</f>
        <v/>
      </c>
      <c r="L9" s="12" t="n"/>
      <c r="M9" s="18">
        <f>IF(OR(C9=" ",OR(L9="",L9=0)),"",L9/C9)</f>
        <v/>
      </c>
      <c r="N9" s="4" t="n"/>
      <c r="O9" s="6">
        <f>IF(OR(C9=" ",OR(N9="",N9=0)),"",N9/C9)</f>
        <v/>
      </c>
      <c r="P9" s="6">
        <f>IF(OR(H9=0,H9=""),"",J9/H9)</f>
        <v/>
      </c>
      <c r="Q9" s="6">
        <f>IF(OR(H9=0,H9=""),"",SUM(D9:E9)/H9)</f>
        <v/>
      </c>
      <c r="R9" s="6">
        <f>IF(Q9="","",1-Q9)</f>
        <v/>
      </c>
      <c r="S9" s="6">
        <f>IF(OR(I9="",I9=0),"",I9)</f>
        <v/>
      </c>
      <c r="T9" s="13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39" t="n"/>
      <c r="CV9" s="39" t="n"/>
      <c r="CW9" s="39" t="n"/>
      <c r="CX9" s="39" t="n"/>
      <c r="CY9" s="39" t="n"/>
      <c r="CZ9" s="39" t="n"/>
      <c r="DA9" s="39" t="n"/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39" t="n"/>
      <c r="DN9" s="39" t="n"/>
      <c r="DO9" s="39" t="n"/>
      <c r="DP9" s="39" t="n"/>
      <c r="DQ9" s="39" t="n"/>
      <c r="DR9" s="39" t="n"/>
      <c r="DS9" s="39" t="n"/>
      <c r="DT9" s="39" t="n"/>
      <c r="DU9" s="39" t="n"/>
      <c r="DV9" s="39" t="n"/>
      <c r="DW9" s="39" t="n"/>
      <c r="DX9" s="39" t="n"/>
      <c r="DY9" s="39" t="n"/>
      <c r="DZ9" s="39" t="n"/>
      <c r="EA9" s="39" t="n"/>
      <c r="EB9" s="39" t="n"/>
      <c r="EC9" s="39" t="n"/>
      <c r="ED9" s="39" t="n"/>
      <c r="EE9" s="39" t="n"/>
      <c r="EF9" s="39" t="n"/>
      <c r="EG9" s="39" t="n"/>
      <c r="EH9" s="39" t="n"/>
      <c r="EI9" s="39" t="n"/>
      <c r="EJ9" s="39" t="n"/>
      <c r="EK9" s="39" t="n"/>
      <c r="EL9" s="39" t="n"/>
      <c r="EM9" s="39" t="n"/>
      <c r="EN9" s="39" t="n"/>
      <c r="EO9" s="39" t="n"/>
      <c r="EP9" s="39" t="n"/>
      <c r="EQ9" s="39" t="n"/>
      <c r="ER9" s="39" t="n"/>
      <c r="ES9" s="39" t="n"/>
      <c r="ET9" s="39" t="n"/>
      <c r="EU9" s="39" t="n"/>
      <c r="EV9" s="39" t="n"/>
      <c r="EW9" s="39" t="n"/>
      <c r="EX9" s="39" t="n"/>
      <c r="EY9" s="39" t="n"/>
      <c r="EZ9" s="39" t="n"/>
      <c r="FA9" s="39" t="n"/>
      <c r="FB9" s="39" t="n"/>
      <c r="FC9" s="39" t="n"/>
      <c r="FD9" s="39" t="n"/>
      <c r="FE9" s="39" t="n"/>
      <c r="FF9" s="39" t="n"/>
      <c r="FG9" s="39" t="n"/>
      <c r="FH9" s="39" t="n"/>
      <c r="FI9" s="39" t="n"/>
      <c r="FJ9" s="39" t="n"/>
      <c r="FK9" s="39" t="n"/>
      <c r="FL9" s="39" t="n"/>
      <c r="FM9" s="39" t="n"/>
      <c r="FN9" s="39" t="n"/>
      <c r="FO9" s="39" t="n"/>
      <c r="FP9" s="39" t="n"/>
      <c r="FQ9" s="39" t="n"/>
      <c r="FR9" s="39" t="n"/>
      <c r="FS9" s="39" t="n"/>
      <c r="FT9" s="39" t="n"/>
      <c r="FU9" s="39" t="n"/>
      <c r="FV9" s="39" t="n"/>
      <c r="FW9" s="39" t="n"/>
      <c r="FX9" s="39" t="n"/>
      <c r="FY9" s="39" t="n"/>
      <c r="FZ9" s="39" t="n"/>
      <c r="GA9" s="39" t="n"/>
      <c r="GB9" s="39" t="n"/>
      <c r="GC9" s="39" t="n"/>
      <c r="GD9" s="39" t="n"/>
      <c r="GE9" s="39" t="n"/>
      <c r="GF9" s="39" t="n"/>
      <c r="GG9" s="39" t="n"/>
      <c r="GH9" s="39" t="n"/>
      <c r="GI9" s="39" t="n"/>
      <c r="GJ9" s="39" t="n"/>
      <c r="GK9" s="39" t="n"/>
      <c r="GL9" s="39" t="n"/>
      <c r="GM9" s="39" t="n"/>
      <c r="GN9" s="39" t="n"/>
      <c r="GO9" s="39" t="n"/>
      <c r="GP9" s="39" t="n"/>
    </row>
    <row r="10" customFormat="1" s="7">
      <c r="B10" s="2" t="n"/>
      <c r="C10" s="4" t="n"/>
      <c r="D10" s="4" t="n"/>
      <c r="E10" s="4" t="n"/>
      <c r="F10" s="4" t="n"/>
      <c r="G10" s="4" t="n"/>
      <c r="H10" s="4" t="n"/>
      <c r="I10" s="6">
        <f>IF(OR(C10=" ",OR(H10="",H10="")),"",H10/C10)</f>
        <v/>
      </c>
      <c r="J10" s="12" t="n"/>
      <c r="K10" s="6">
        <f>IF(OR(C10="",OR(J10="")),"",J10/C10)</f>
        <v/>
      </c>
      <c r="L10" s="12" t="n"/>
      <c r="M10" s="18">
        <f>IF(OR(C10=" ",OR(L10="",L10=0)),"",L10/C10)</f>
        <v/>
      </c>
      <c r="N10" s="4" t="n"/>
      <c r="O10" s="6">
        <f>IF(OR(C10=" ",OR(N10="",N10=0)),"",N10/C10)</f>
        <v/>
      </c>
      <c r="P10" s="6">
        <f>IF(OR(H10=0,H10=""),"",J10/H10)</f>
        <v/>
      </c>
      <c r="Q10" s="6">
        <f>IF(OR(H10=0,H10=""),"",SUM(D10:E10)/H10)</f>
        <v/>
      </c>
      <c r="R10" s="6">
        <f>IF(Q10="","",1-Q10)</f>
        <v/>
      </c>
      <c r="S10" s="6">
        <f>IF(OR(I10="",I10=0),"",I10)</f>
        <v/>
      </c>
      <c r="T10" s="13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  <c r="CF10" s="39" t="n"/>
      <c r="CG10" s="39" t="n"/>
      <c r="CH10" s="39" t="n"/>
      <c r="CI10" s="39" t="n"/>
      <c r="CJ10" s="39" t="n"/>
      <c r="CK10" s="39" t="n"/>
      <c r="CL10" s="39" t="n"/>
      <c r="CM10" s="39" t="n"/>
      <c r="CN10" s="39" t="n"/>
      <c r="CO10" s="39" t="n"/>
      <c r="CP10" s="39" t="n"/>
      <c r="CQ10" s="39" t="n"/>
      <c r="CR10" s="39" t="n"/>
      <c r="CS10" s="39" t="n"/>
      <c r="CT10" s="39" t="n"/>
      <c r="CU10" s="39" t="n"/>
      <c r="CV10" s="39" t="n"/>
      <c r="CW10" s="39" t="n"/>
      <c r="CX10" s="39" t="n"/>
      <c r="CY10" s="39" t="n"/>
      <c r="CZ10" s="39" t="n"/>
      <c r="DA10" s="39" t="n"/>
      <c r="DB10" s="39" t="n"/>
      <c r="DC10" s="39" t="n"/>
      <c r="DD10" s="39" t="n"/>
      <c r="DE10" s="39" t="n"/>
      <c r="DF10" s="39" t="n"/>
      <c r="DG10" s="39" t="n"/>
      <c r="DH10" s="39" t="n"/>
      <c r="DI10" s="39" t="n"/>
      <c r="DJ10" s="39" t="n"/>
      <c r="DK10" s="39" t="n"/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39" t="n"/>
      <c r="DV10" s="39" t="n"/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39" t="n"/>
      <c r="EP10" s="39" t="n"/>
      <c r="EQ10" s="39" t="n"/>
      <c r="ER10" s="39" t="n"/>
      <c r="ES10" s="39" t="n"/>
      <c r="ET10" s="39" t="n"/>
      <c r="EU10" s="39" t="n"/>
      <c r="EV10" s="39" t="n"/>
      <c r="EW10" s="39" t="n"/>
      <c r="EX10" s="39" t="n"/>
      <c r="EY10" s="39" t="n"/>
      <c r="EZ10" s="39" t="n"/>
      <c r="FA10" s="39" t="n"/>
      <c r="FB10" s="39" t="n"/>
      <c r="FC10" s="39" t="n"/>
      <c r="FD10" s="39" t="n"/>
      <c r="FE10" s="39" t="n"/>
      <c r="FF10" s="39" t="n"/>
      <c r="FG10" s="39" t="n"/>
      <c r="FH10" s="39" t="n"/>
      <c r="FI10" s="39" t="n"/>
      <c r="FJ10" s="39" t="n"/>
      <c r="FK10" s="39" t="n"/>
      <c r="FL10" s="39" t="n"/>
      <c r="FM10" s="39" t="n"/>
      <c r="FN10" s="39" t="n"/>
      <c r="FO10" s="39" t="n"/>
      <c r="FP10" s="39" t="n"/>
      <c r="FQ10" s="39" t="n"/>
      <c r="FR10" s="39" t="n"/>
      <c r="FS10" s="39" t="n"/>
      <c r="FT10" s="39" t="n"/>
      <c r="FU10" s="39" t="n"/>
      <c r="FV10" s="39" t="n"/>
      <c r="FW10" s="39" t="n"/>
      <c r="FX10" s="39" t="n"/>
      <c r="FY10" s="39" t="n"/>
      <c r="FZ10" s="39" t="n"/>
      <c r="GA10" s="39" t="n"/>
      <c r="GB10" s="39" t="n"/>
      <c r="GC10" s="39" t="n"/>
      <c r="GD10" s="39" t="n"/>
      <c r="GE10" s="39" t="n"/>
      <c r="GF10" s="39" t="n"/>
      <c r="GG10" s="39" t="n"/>
      <c r="GH10" s="39" t="n"/>
      <c r="GI10" s="39" t="n"/>
      <c r="GJ10" s="39" t="n"/>
      <c r="GK10" s="39" t="n"/>
      <c r="GL10" s="39" t="n"/>
      <c r="GM10" s="39" t="n"/>
      <c r="GN10" s="39" t="n"/>
      <c r="GO10" s="39" t="n"/>
      <c r="GP10" s="39" t="n"/>
    </row>
    <row r="11" ht="14.4" customHeight="1" thickBot="1">
      <c r="B11" s="14" t="inlineStr">
        <is>
          <t>Total</t>
        </is>
      </c>
      <c r="C11" s="15">
        <f>IF(OR(C8=0,C8=""),"",SUM(C8:C10))</f>
        <v/>
      </c>
      <c r="D11" s="15">
        <f>IF(OR(D8=0,D8=""),"",SUM(D8:D10))</f>
        <v/>
      </c>
      <c r="E11" s="15">
        <f>IF(OR(E8=0,E8=""),"",SUM(E8:E10))</f>
        <v/>
      </c>
      <c r="F11" s="15">
        <f>IF(OR(F8=0,F8=""),"",SUM(F8:F10))</f>
        <v/>
      </c>
      <c r="G11" s="15">
        <f>IF(OR(G8=0,G8=""),"",SUM(G8:G10))</f>
        <v/>
      </c>
      <c r="H11" s="15">
        <f>IF(OR(H8=0,H8=""),"",SUM(H8:H10))</f>
        <v/>
      </c>
      <c r="I11" s="1">
        <f>IF(OR(H11=0,H11=""),"",AVERAGE(I8:I10))</f>
        <v/>
      </c>
      <c r="J11" s="15">
        <f>IF(OR(J8=0,J8=""),"",SUM(J8:J10))</f>
        <v/>
      </c>
      <c r="K11" s="1">
        <f>IF(OR(J11=0,J11=""),"",AVERAGE(K8:K10))</f>
        <v/>
      </c>
      <c r="L11" s="15">
        <f>IF(OR(L8=0,L8=""),"",SUM(L8:L10))</f>
        <v/>
      </c>
      <c r="M11" s="19">
        <f>IF(OR(L11=0,L11=""),"",AVERAGE(M8:M10))</f>
        <v/>
      </c>
      <c r="N11" s="20">
        <f>IF(OR(N8=0,N8=""),"",SUM(N8:N10))</f>
        <v/>
      </c>
      <c r="O11" s="1">
        <f>IF(OR(N11=0,N11=""),"",AVERAGE(O8:O10))</f>
        <v/>
      </c>
      <c r="P11" s="1">
        <f>IF(OR(P8=""),"",AVERAGE(P8:P10))</f>
        <v/>
      </c>
      <c r="Q11" s="1">
        <f>IF(OR(Q8=""),"",AVERAGE(Q8:Q10))</f>
        <v/>
      </c>
      <c r="R11" s="1">
        <f>IF(OR(R8=0,R8=""),"",AVERAGE(R8:R10))</f>
        <v/>
      </c>
      <c r="S11" s="1">
        <f>IF(OR(S8=0,S8=""),"",AVERAGE(S8:S10))</f>
        <v/>
      </c>
      <c r="T11" s="25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  <c r="BS11" s="30" t="n"/>
      <c r="BT11" s="30" t="n"/>
      <c r="BU11" s="30" t="n"/>
      <c r="BV11" s="30" t="n"/>
      <c r="BW11" s="30" t="n"/>
      <c r="BX11" s="30" t="n"/>
      <c r="BY11" s="30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0" t="n"/>
      <c r="DQ11" s="30" t="n"/>
      <c r="DR11" s="30" t="n"/>
      <c r="DS11" s="30" t="n"/>
      <c r="DT11" s="30" t="n"/>
      <c r="DU11" s="30" t="n"/>
      <c r="DV11" s="30" t="n"/>
      <c r="DW11" s="30" t="n"/>
      <c r="DX11" s="30" t="n"/>
      <c r="DY11" s="30" t="n"/>
      <c r="DZ11" s="30" t="n"/>
      <c r="EA11" s="30" t="n"/>
      <c r="EB11" s="30" t="n"/>
      <c r="EC11" s="30" t="n"/>
      <c r="ED11" s="30" t="n"/>
      <c r="EE11" s="30" t="n"/>
      <c r="EF11" s="30" t="n"/>
      <c r="EG11" s="30" t="n"/>
      <c r="EH11" s="30" t="n"/>
      <c r="EI11" s="30" t="n"/>
      <c r="EJ11" s="30" t="n"/>
      <c r="EK11" s="30" t="n"/>
      <c r="EL11" s="30" t="n"/>
      <c r="EM11" s="30" t="n"/>
      <c r="EN11" s="30" t="n"/>
      <c r="EO11" s="30" t="n"/>
      <c r="EP11" s="30" t="n"/>
      <c r="EQ11" s="30" t="n"/>
      <c r="ER11" s="30" t="n"/>
      <c r="ES11" s="30" t="n"/>
      <c r="ET11" s="30" t="n"/>
      <c r="EU11" s="30" t="n"/>
      <c r="EV11" s="30" t="n"/>
      <c r="EW11" s="30" t="n"/>
      <c r="EX11" s="30" t="n"/>
      <c r="EY11" s="30" t="n"/>
      <c r="EZ11" s="30" t="n"/>
      <c r="FA11" s="30" t="n"/>
      <c r="FB11" s="30" t="n"/>
      <c r="FC11" s="30" t="n"/>
      <c r="FD11" s="30" t="n"/>
      <c r="FE11" s="30" t="n"/>
      <c r="FF11" s="30" t="n"/>
      <c r="FG11" s="30" t="n"/>
      <c r="FH11" s="30" t="n"/>
      <c r="FI11" s="30" t="n"/>
      <c r="FJ11" s="30" t="n"/>
      <c r="FK11" s="30" t="n"/>
      <c r="FL11" s="30" t="n"/>
      <c r="FM11" s="30" t="n"/>
      <c r="FN11" s="30" t="n"/>
      <c r="FO11" s="30" t="n"/>
      <c r="FP11" s="30" t="n"/>
      <c r="FQ11" s="30" t="n"/>
      <c r="FR11" s="30" t="n"/>
      <c r="FS11" s="30" t="n"/>
      <c r="FT11" s="30" t="n"/>
      <c r="FU11" s="30" t="n"/>
      <c r="FV11" s="30" t="n"/>
      <c r="FW11" s="30" t="n"/>
      <c r="FX11" s="30" t="n"/>
      <c r="FY11" s="30" t="n"/>
      <c r="FZ11" s="30" t="n"/>
      <c r="GA11" s="30" t="n"/>
      <c r="GB11" s="30" t="n"/>
      <c r="GC11" s="30" t="n"/>
      <c r="GD11" s="30" t="n"/>
      <c r="GE11" s="30" t="n"/>
      <c r="GF11" s="30" t="n"/>
      <c r="GG11" s="30" t="n"/>
      <c r="GH11" s="30" t="n"/>
      <c r="GI11" s="30" t="n"/>
      <c r="GJ11" s="30" t="n"/>
      <c r="GK11" s="30" t="n"/>
      <c r="GL11" s="30" t="n"/>
      <c r="GM11" s="30" t="n"/>
      <c r="GN11" s="30" t="n"/>
      <c r="GO11" s="30" t="n"/>
      <c r="GP11" s="30" t="n"/>
    </row>
    <row r="12">
      <c r="B12" s="34" t="n"/>
      <c r="C12" s="35" t="n"/>
      <c r="D12" s="32" t="n"/>
      <c r="E12" s="32" t="n"/>
      <c r="F12" s="35" t="n"/>
      <c r="G12" s="32" t="n"/>
      <c r="H12" s="32" t="n"/>
      <c r="I12" s="35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3" t="n"/>
      <c r="U12" s="4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0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  <c r="FP12" s="30" t="n"/>
      <c r="FQ12" s="30" t="n"/>
      <c r="FR12" s="30" t="n"/>
      <c r="FS12" s="30" t="n"/>
      <c r="FT12" s="30" t="n"/>
      <c r="FU12" s="30" t="n"/>
      <c r="FV12" s="30" t="n"/>
      <c r="FW12" s="30" t="n"/>
      <c r="FX12" s="30" t="n"/>
      <c r="FY12" s="30" t="n"/>
      <c r="FZ12" s="30" t="n"/>
      <c r="GA12" s="30" t="n"/>
      <c r="GB12" s="30" t="n"/>
      <c r="GC12" s="30" t="n"/>
      <c r="GD12" s="30" t="n"/>
      <c r="GE12" s="30" t="n"/>
      <c r="GF12" s="30" t="n"/>
      <c r="GG12" s="30" t="n"/>
      <c r="GH12" s="30" t="n"/>
      <c r="GI12" s="30" t="n"/>
      <c r="GJ12" s="30" t="n"/>
      <c r="GK12" s="30" t="n"/>
      <c r="GL12" s="30" t="n"/>
      <c r="GM12" s="30" t="n"/>
      <c r="GN12" s="30" t="n"/>
      <c r="GO12" s="30" t="n"/>
      <c r="GP12" s="30" t="n"/>
    </row>
    <row r="13" ht="13.8" customHeight="1" thickBot="1">
      <c r="B13" s="36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7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</row>
    <row r="14" ht="13.8" customHeight="1" thickBot="1">
      <c r="B14" s="41" t="inlineStr">
        <is>
          <t>Análisis de Resultados IT II</t>
        </is>
      </c>
      <c r="C14" s="42" t="n"/>
      <c r="D14" s="43" t="n"/>
      <c r="E14" s="43" t="n"/>
      <c r="F14" s="42" t="n"/>
      <c r="G14" s="43" t="n"/>
      <c r="H14" s="43" t="n"/>
      <c r="I14" s="42" t="n"/>
      <c r="J14" s="43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5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30" t="n"/>
      <c r="BN14" s="30" t="n"/>
      <c r="BO14" s="30" t="n"/>
      <c r="BP14" s="30" t="n"/>
      <c r="BQ14" s="30" t="n"/>
      <c r="BR14" s="30" t="n"/>
      <c r="BS14" s="30" t="n"/>
      <c r="BT14" s="30" t="n"/>
      <c r="BU14" s="30" t="n"/>
      <c r="BV14" s="30" t="n"/>
      <c r="BW14" s="30" t="n"/>
      <c r="BX14" s="30" t="n"/>
      <c r="BY14" s="30" t="n"/>
      <c r="BZ14" s="30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0" t="n"/>
      <c r="DQ14" s="30" t="n"/>
      <c r="DR14" s="30" t="n"/>
      <c r="DS14" s="30" t="n"/>
      <c r="DT14" s="30" t="n"/>
      <c r="DU14" s="30" t="n"/>
      <c r="DV14" s="30" t="n"/>
      <c r="DW14" s="30" t="n"/>
      <c r="DX14" s="30" t="n"/>
      <c r="DY14" s="30" t="n"/>
      <c r="DZ14" s="30" t="n"/>
      <c r="EA14" s="30" t="n"/>
      <c r="EB14" s="30" t="n"/>
      <c r="EC14" s="30" t="n"/>
      <c r="ED14" s="30" t="n"/>
      <c r="EE14" s="30" t="n"/>
      <c r="EF14" s="30" t="n"/>
      <c r="EG14" s="30" t="n"/>
      <c r="EH14" s="30" t="n"/>
      <c r="EI14" s="30" t="n"/>
      <c r="EJ14" s="30" t="n"/>
      <c r="EK14" s="30" t="n"/>
      <c r="EL14" s="30" t="n"/>
      <c r="EM14" s="30" t="n"/>
      <c r="EN14" s="30" t="n"/>
      <c r="EO14" s="30" t="n"/>
      <c r="EP14" s="30" t="n"/>
      <c r="EQ14" s="30" t="n"/>
      <c r="ER14" s="30" t="n"/>
      <c r="ES14" s="30" t="n"/>
      <c r="ET14" s="30" t="n"/>
      <c r="EU14" s="30" t="n"/>
      <c r="EV14" s="30" t="n"/>
      <c r="EW14" s="30" t="n"/>
      <c r="EX14" s="30" t="n"/>
      <c r="EY14" s="30" t="n"/>
      <c r="EZ14" s="30" t="n"/>
      <c r="FA14" s="30" t="n"/>
      <c r="FB14" s="30" t="n"/>
      <c r="FC14" s="30" t="n"/>
      <c r="FD14" s="30" t="n"/>
      <c r="FE14" s="30" t="n"/>
      <c r="FF14" s="30" t="n"/>
      <c r="FG14" s="30" t="n"/>
      <c r="FH14" s="30" t="n"/>
      <c r="FI14" s="30" t="n"/>
      <c r="FJ14" s="30" t="n"/>
      <c r="FK14" s="30" t="n"/>
      <c r="FL14" s="30" t="n"/>
      <c r="FM14" s="30" t="n"/>
      <c r="FN14" s="30" t="n"/>
      <c r="FO14" s="30" t="n"/>
      <c r="FP14" s="30" t="n"/>
      <c r="FQ14" s="30" t="n"/>
      <c r="FR14" s="30" t="n"/>
      <c r="FS14" s="30" t="n"/>
      <c r="FT14" s="30" t="n"/>
      <c r="FU14" s="30" t="n"/>
      <c r="FV14" s="30" t="n"/>
      <c r="FW14" s="30" t="n"/>
      <c r="FX14" s="30" t="n"/>
      <c r="FY14" s="30" t="n"/>
      <c r="FZ14" s="30" t="n"/>
      <c r="GA14" s="30" t="n"/>
      <c r="GB14" s="30" t="n"/>
      <c r="GC14" s="30" t="n"/>
      <c r="GD14" s="30" t="n"/>
      <c r="GE14" s="30" t="n"/>
      <c r="GF14" s="30" t="n"/>
      <c r="GG14" s="30" t="n"/>
      <c r="GH14" s="30" t="n"/>
      <c r="GI14" s="30" t="n"/>
      <c r="GJ14" s="30" t="n"/>
      <c r="GK14" s="30" t="n"/>
      <c r="GL14" s="30" t="n"/>
      <c r="GM14" s="30" t="n"/>
      <c r="GN14" s="30" t="n"/>
      <c r="GO14" s="30" t="n"/>
      <c r="GP14" s="30" t="n"/>
    </row>
    <row r="15" ht="13.5" customHeight="1" thickBot="1">
      <c r="B15" s="9" t="inlineStr">
        <is>
          <t>Funcionalidad o Requerimiento</t>
        </is>
      </c>
      <c r="C15" s="9" t="inlineStr">
        <is>
          <t>Nro. Reqs Prueba</t>
        </is>
      </c>
      <c r="D15" s="9" t="inlineStr">
        <is>
          <t>No Conformidades</t>
        </is>
      </c>
      <c r="E15" s="175" t="n"/>
      <c r="F15" s="176" t="n"/>
      <c r="G15" s="9" t="inlineStr">
        <is>
          <t>NC Anulados</t>
        </is>
      </c>
      <c r="H15" s="181" t="inlineStr">
        <is>
          <t>Resultados</t>
        </is>
      </c>
      <c r="I15" s="175" t="n"/>
      <c r="J15" s="175" t="n"/>
      <c r="K15" s="175" t="n"/>
      <c r="L15" s="175" t="n"/>
      <c r="M15" s="175" t="n"/>
      <c r="N15" s="175" t="n"/>
      <c r="O15" s="176" t="n"/>
      <c r="P15" s="9" t="inlineStr">
        <is>
          <t>Correctitud</t>
        </is>
      </c>
      <c r="Q15" s="9" t="inlineStr">
        <is>
          <t>Densidad NC</t>
        </is>
      </c>
      <c r="R15" s="9" t="inlineStr">
        <is>
          <t>Confiab.</t>
        </is>
      </c>
      <c r="S15" s="9" t="inlineStr">
        <is>
          <t>Cobertura</t>
        </is>
      </c>
      <c r="T15" s="9" t="inlineStr">
        <is>
          <t>Observaciones</t>
        </is>
      </c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</row>
    <row r="16" ht="13.8" customHeight="1" thickBot="1">
      <c r="B16" s="178" t="n"/>
      <c r="C16" s="178" t="n"/>
      <c r="D16" s="9" t="inlineStr">
        <is>
          <t>Bloqueante</t>
        </is>
      </c>
      <c r="E16" s="9" t="inlineStr">
        <is>
          <t>Funcional</t>
        </is>
      </c>
      <c r="F16" s="9" t="inlineStr">
        <is>
          <t>Presentación</t>
        </is>
      </c>
      <c r="G16" s="178" t="n"/>
      <c r="H16" s="181" t="inlineStr">
        <is>
          <t>Ejecutados</t>
        </is>
      </c>
      <c r="I16" s="176" t="n"/>
      <c r="J16" s="179" t="inlineStr">
        <is>
          <t>OK</t>
        </is>
      </c>
      <c r="K16" s="180" t="n"/>
      <c r="L16" s="182" t="inlineStr">
        <is>
          <t>NOK</t>
        </is>
      </c>
      <c r="M16" s="180" t="n"/>
      <c r="N16" s="181" t="inlineStr">
        <is>
          <t>PDTE</t>
        </is>
      </c>
      <c r="O16" s="176" t="n"/>
      <c r="P16" s="178" t="n"/>
      <c r="Q16" s="178" t="n"/>
      <c r="R16" s="178" t="n"/>
      <c r="S16" s="178" t="n"/>
      <c r="T16" s="178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30" t="n"/>
      <c r="BN16" s="30" t="n"/>
      <c r="BO16" s="30" t="n"/>
      <c r="BP16" s="30" t="n"/>
      <c r="BQ16" s="30" t="n"/>
      <c r="BR16" s="30" t="n"/>
      <c r="BS16" s="30" t="n"/>
      <c r="BT16" s="30" t="n"/>
      <c r="BU16" s="30" t="n"/>
      <c r="BV16" s="30" t="n"/>
      <c r="BW16" s="30" t="n"/>
      <c r="BX16" s="30" t="n"/>
      <c r="BY16" s="30" t="n"/>
      <c r="BZ16" s="30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0" t="n"/>
      <c r="DQ16" s="30" t="n"/>
      <c r="DR16" s="30" t="n"/>
      <c r="DS16" s="30" t="n"/>
      <c r="DT16" s="30" t="n"/>
      <c r="DU16" s="30" t="n"/>
      <c r="DV16" s="30" t="n"/>
      <c r="DW16" s="30" t="n"/>
      <c r="DX16" s="30" t="n"/>
      <c r="DY16" s="30" t="n"/>
      <c r="DZ16" s="30" t="n"/>
      <c r="EA16" s="30" t="n"/>
      <c r="EB16" s="30" t="n"/>
      <c r="EC16" s="30" t="n"/>
      <c r="ED16" s="30" t="n"/>
      <c r="EE16" s="30" t="n"/>
      <c r="EF16" s="30" t="n"/>
      <c r="EG16" s="30" t="n"/>
      <c r="EH16" s="30" t="n"/>
      <c r="EI16" s="30" t="n"/>
      <c r="EJ16" s="30" t="n"/>
      <c r="EK16" s="30" t="n"/>
      <c r="EL16" s="30" t="n"/>
      <c r="EM16" s="30" t="n"/>
      <c r="EN16" s="30" t="n"/>
      <c r="EO16" s="30" t="n"/>
      <c r="EP16" s="30" t="n"/>
      <c r="EQ16" s="30" t="n"/>
      <c r="ER16" s="30" t="n"/>
      <c r="ES16" s="30" t="n"/>
      <c r="ET16" s="30" t="n"/>
      <c r="EU16" s="30" t="n"/>
      <c r="EV16" s="30" t="n"/>
      <c r="EW16" s="30" t="n"/>
      <c r="EX16" s="30" t="n"/>
      <c r="EY16" s="30" t="n"/>
      <c r="EZ16" s="30" t="n"/>
      <c r="FA16" s="30" t="n"/>
      <c r="FB16" s="30" t="n"/>
      <c r="FC16" s="30" t="n"/>
      <c r="FD16" s="30" t="n"/>
      <c r="FE16" s="30" t="n"/>
      <c r="FF16" s="30" t="n"/>
      <c r="FG16" s="30" t="n"/>
      <c r="FH16" s="30" t="n"/>
      <c r="FI16" s="30" t="n"/>
      <c r="FJ16" s="30" t="n"/>
      <c r="FK16" s="30" t="n"/>
      <c r="FL16" s="30" t="n"/>
      <c r="FM16" s="30" t="n"/>
      <c r="FN16" s="30" t="n"/>
      <c r="FO16" s="30" t="n"/>
      <c r="FP16" s="30" t="n"/>
      <c r="FQ16" s="30" t="n"/>
      <c r="FR16" s="30" t="n"/>
      <c r="FS16" s="30" t="n"/>
      <c r="FT16" s="30" t="n"/>
      <c r="FU16" s="30" t="n"/>
      <c r="FV16" s="30" t="n"/>
      <c r="FW16" s="30" t="n"/>
      <c r="FX16" s="30" t="n"/>
      <c r="FY16" s="30" t="n"/>
      <c r="FZ16" s="30" t="n"/>
      <c r="GA16" s="30" t="n"/>
      <c r="GB16" s="30" t="n"/>
      <c r="GC16" s="30" t="n"/>
      <c r="GD16" s="30" t="n"/>
      <c r="GE16" s="30" t="n"/>
      <c r="GF16" s="30" t="n"/>
      <c r="GG16" s="30" t="n"/>
      <c r="GH16" s="30" t="n"/>
      <c r="GI16" s="30" t="n"/>
      <c r="GJ16" s="30" t="n"/>
      <c r="GK16" s="30" t="n"/>
      <c r="GL16" s="30" t="n"/>
      <c r="GM16" s="30" t="n"/>
      <c r="GN16" s="30" t="n"/>
      <c r="GO16" s="30" t="n"/>
      <c r="GP16" s="30" t="n"/>
    </row>
    <row r="17" customFormat="1" s="7">
      <c r="B17" s="22">
        <f>IF(#REF!=0,"",#REF!)</f>
        <v/>
      </c>
      <c r="C17" s="17">
        <f>IF(COUNTIF(#REF!,"OK")+COUNTIF(#REF!,"NOK")+COUNTIF(#REF!,"PDTE")+COUNTIF(#REF!,"N/A")=0,"",COUNTIF(#REF!,"OK")+COUNTIF(#REF!,"NOK")+COUNTIF(#REF!,"PDTE")+COUNTIF(#REF!,"N/A"))</f>
        <v/>
      </c>
      <c r="D17" s="10" t="n"/>
      <c r="E17" s="10" t="n"/>
      <c r="F17" s="10" t="n"/>
      <c r="G17" s="17">
        <f>IF(COUNTIF(#REF!,"N/A")=0,"",COUNTIF(#REF!,"N/A"))</f>
        <v/>
      </c>
      <c r="H17" s="17">
        <f>IF(COUNTIF(#REF!,"OK")+COUNTIF(#REF!,"NOK")=0,"",COUNTIF(#REF!,"OK")+COUNTIF(#REF!,"NOK"))</f>
        <v/>
      </c>
      <c r="I17" s="6">
        <f>IF(OR(C17=" ",OR(H17="",H17=0)),"",H17/C17)</f>
        <v/>
      </c>
      <c r="J17" s="23">
        <f>IF(COUNTIF(#REF!,"OK")=0,"",COUNTIF(#REF!,"OK"))</f>
        <v/>
      </c>
      <c r="K17" s="6">
        <f>IF(OR(C17=" ",OR(J17="",J17=0)),"",J17/C17)</f>
        <v/>
      </c>
      <c r="L17" s="23">
        <f>IF(COUNTIF(#REF!,"NOK")=0,"",COUNTIF(#REF!,"NOK"))</f>
        <v/>
      </c>
      <c r="M17" s="6">
        <f>IF(OR(C17=" ",OR(L17="",L17=0)),"",L17/C17)</f>
        <v/>
      </c>
      <c r="N17" s="23">
        <f>IF(COUNTIF(#REF!,"PDTE")=0,"",COUNTIF(#REF!,"PDTE"))</f>
        <v/>
      </c>
      <c r="O17" s="6">
        <f>IF(OR(C17=" ",OR(N17="",N17=0)),"",N17/C17)</f>
        <v/>
      </c>
      <c r="P17" s="6">
        <f>IF(OR(H17=0,H17=""),"",SUM(J17)/H17)</f>
        <v/>
      </c>
      <c r="Q17" s="6">
        <f>IF(OR(H17=0,H17=""),"",SUM(D17:F17)/H17)</f>
        <v/>
      </c>
      <c r="R17" s="6">
        <f>IF(Q17="","",1-Q17)</f>
        <v/>
      </c>
      <c r="S17" s="6">
        <f>IF(OR(I17="",I17=0),"",I17)</f>
        <v/>
      </c>
      <c r="T17" s="24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  <c r="CE17" s="39" t="n"/>
      <c r="CF17" s="39" t="n"/>
      <c r="CG17" s="39" t="n"/>
      <c r="CH17" s="39" t="n"/>
      <c r="CI17" s="39" t="n"/>
      <c r="CJ17" s="39" t="n"/>
      <c r="CK17" s="39" t="n"/>
      <c r="CL17" s="39" t="n"/>
      <c r="CM17" s="39" t="n"/>
      <c r="CN17" s="39" t="n"/>
      <c r="CO17" s="39" t="n"/>
      <c r="CP17" s="39" t="n"/>
      <c r="CQ17" s="39" t="n"/>
      <c r="CR17" s="39" t="n"/>
      <c r="CS17" s="39" t="n"/>
      <c r="CT17" s="39" t="n"/>
      <c r="CU17" s="39" t="n"/>
      <c r="CV17" s="39" t="n"/>
      <c r="CW17" s="39" t="n"/>
      <c r="CX17" s="39" t="n"/>
      <c r="CY17" s="39" t="n"/>
      <c r="CZ17" s="39" t="n"/>
      <c r="DA17" s="39" t="n"/>
      <c r="DB17" s="39" t="n"/>
      <c r="DC17" s="39" t="n"/>
      <c r="DD17" s="39" t="n"/>
      <c r="DE17" s="39" t="n"/>
      <c r="DF17" s="39" t="n"/>
      <c r="DG17" s="39" t="n"/>
      <c r="DH17" s="39" t="n"/>
      <c r="DI17" s="39" t="n"/>
      <c r="DJ17" s="39" t="n"/>
      <c r="DK17" s="39" t="n"/>
      <c r="DL17" s="39" t="n"/>
      <c r="DM17" s="39" t="n"/>
      <c r="DN17" s="39" t="n"/>
      <c r="DO17" s="39" t="n"/>
      <c r="DP17" s="39" t="n"/>
      <c r="DQ17" s="39" t="n"/>
      <c r="DR17" s="39" t="n"/>
      <c r="DS17" s="39" t="n"/>
      <c r="DT17" s="39" t="n"/>
      <c r="DU17" s="39" t="n"/>
      <c r="DV17" s="39" t="n"/>
      <c r="DW17" s="39" t="n"/>
      <c r="DX17" s="39" t="n"/>
      <c r="DY17" s="39" t="n"/>
      <c r="DZ17" s="39" t="n"/>
      <c r="EA17" s="39" t="n"/>
      <c r="EB17" s="39" t="n"/>
      <c r="EC17" s="39" t="n"/>
      <c r="ED17" s="39" t="n"/>
      <c r="EE17" s="39" t="n"/>
      <c r="EF17" s="39" t="n"/>
      <c r="EG17" s="39" t="n"/>
      <c r="EH17" s="39" t="n"/>
      <c r="EI17" s="39" t="n"/>
      <c r="EJ17" s="39" t="n"/>
      <c r="EK17" s="39" t="n"/>
      <c r="EL17" s="39" t="n"/>
      <c r="EM17" s="39" t="n"/>
      <c r="EN17" s="39" t="n"/>
      <c r="EO17" s="39" t="n"/>
      <c r="EP17" s="39" t="n"/>
      <c r="EQ17" s="39" t="n"/>
      <c r="ER17" s="39" t="n"/>
      <c r="ES17" s="39" t="n"/>
      <c r="ET17" s="39" t="n"/>
      <c r="EU17" s="39" t="n"/>
      <c r="EV17" s="39" t="n"/>
      <c r="EW17" s="39" t="n"/>
      <c r="EX17" s="39" t="n"/>
      <c r="EY17" s="39" t="n"/>
      <c r="EZ17" s="39" t="n"/>
      <c r="FA17" s="39" t="n"/>
      <c r="FB17" s="39" t="n"/>
      <c r="FC17" s="39" t="n"/>
      <c r="FD17" s="39" t="n"/>
      <c r="FE17" s="39" t="n"/>
      <c r="FF17" s="39" t="n"/>
      <c r="FG17" s="39" t="n"/>
      <c r="FH17" s="39" t="n"/>
      <c r="FI17" s="39" t="n"/>
      <c r="FJ17" s="39" t="n"/>
      <c r="FK17" s="39" t="n"/>
      <c r="FL17" s="39" t="n"/>
      <c r="FM17" s="39" t="n"/>
      <c r="FN17" s="39" t="n"/>
      <c r="FO17" s="39" t="n"/>
      <c r="FP17" s="39" t="n"/>
      <c r="FQ17" s="39" t="n"/>
      <c r="FR17" s="39" t="n"/>
      <c r="FS17" s="39" t="n"/>
      <c r="FT17" s="39" t="n"/>
      <c r="FU17" s="39" t="n"/>
      <c r="FV17" s="39" t="n"/>
      <c r="FW17" s="39" t="n"/>
      <c r="FX17" s="39" t="n"/>
      <c r="FY17" s="39" t="n"/>
      <c r="FZ17" s="39" t="n"/>
      <c r="GA17" s="39" t="n"/>
      <c r="GB17" s="39" t="n"/>
      <c r="GC17" s="39" t="n"/>
      <c r="GD17" s="39" t="n"/>
      <c r="GE17" s="39" t="n"/>
      <c r="GF17" s="39" t="n"/>
      <c r="GG17" s="39" t="n"/>
      <c r="GH17" s="39" t="n"/>
      <c r="GI17" s="39" t="n"/>
      <c r="GJ17" s="39" t="n"/>
      <c r="GK17" s="39" t="n"/>
      <c r="GL17" s="39" t="n"/>
      <c r="GM17" s="39" t="n"/>
      <c r="GN17" s="39" t="n"/>
      <c r="GO17" s="39" t="n"/>
      <c r="GP17" s="39" t="n"/>
    </row>
    <row r="18" customFormat="1" s="7">
      <c r="B18" s="2" t="n"/>
      <c r="C18" s="4" t="n"/>
      <c r="D18" s="4" t="n"/>
      <c r="E18" s="4" t="n"/>
      <c r="F18" s="4" t="n"/>
      <c r="G18" s="4" t="n"/>
      <c r="H18" s="4" t="n"/>
      <c r="I18" s="6">
        <f>IF(OR(C18=" ",OR(H18="",H18=0)),"",H18/C18)</f>
        <v/>
      </c>
      <c r="J18" s="12" t="n"/>
      <c r="K18" s="6">
        <f>IF(OR(C18=" ",OR(J18="",J18=0)),"",J18/C18)</f>
        <v/>
      </c>
      <c r="L18" s="12" t="n"/>
      <c r="M18" s="6">
        <f>IF(OR(C18=" ",OR(L18="",L18=0)),"",L18/C18)</f>
        <v/>
      </c>
      <c r="N18" s="11" t="n"/>
      <c r="O18" s="6">
        <f>IF(OR(C18=" ",OR(N18="",N18=0)),"",N18/C18)</f>
        <v/>
      </c>
      <c r="P18" s="6">
        <f>IF(OR(H18=0,H18=""),"",J18/H18)</f>
        <v/>
      </c>
      <c r="Q18" s="6">
        <f>IF(OR(H18=0,H18=""),"",SUM(D18:E18)/H18)</f>
        <v/>
      </c>
      <c r="R18" s="6">
        <f>IF(Q18="","",1-Q18)</f>
        <v/>
      </c>
      <c r="S18" s="6">
        <f>IF(OR(I18="",I18=0),"",I18)</f>
        <v/>
      </c>
      <c r="T18" s="13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  <c r="CE18" s="39" t="n"/>
      <c r="CF18" s="39" t="n"/>
      <c r="CG18" s="39" t="n"/>
      <c r="CH18" s="39" t="n"/>
      <c r="CI18" s="39" t="n"/>
      <c r="CJ18" s="39" t="n"/>
      <c r="CK18" s="39" t="n"/>
      <c r="CL18" s="39" t="n"/>
      <c r="CM18" s="39" t="n"/>
      <c r="CN18" s="39" t="n"/>
      <c r="CO18" s="39" t="n"/>
      <c r="CP18" s="39" t="n"/>
      <c r="CQ18" s="39" t="n"/>
      <c r="CR18" s="39" t="n"/>
      <c r="CS18" s="39" t="n"/>
      <c r="CT18" s="39" t="n"/>
      <c r="CU18" s="39" t="n"/>
      <c r="CV18" s="39" t="n"/>
      <c r="CW18" s="39" t="n"/>
      <c r="CX18" s="39" t="n"/>
      <c r="CY18" s="39" t="n"/>
      <c r="CZ18" s="39" t="n"/>
      <c r="DA18" s="39" t="n"/>
      <c r="DB18" s="39" t="n"/>
      <c r="DC18" s="39" t="n"/>
      <c r="DD18" s="39" t="n"/>
      <c r="DE18" s="39" t="n"/>
      <c r="DF18" s="39" t="n"/>
      <c r="DG18" s="39" t="n"/>
      <c r="DH18" s="39" t="n"/>
      <c r="DI18" s="39" t="n"/>
      <c r="DJ18" s="39" t="n"/>
      <c r="DK18" s="39" t="n"/>
      <c r="DL18" s="39" t="n"/>
      <c r="DM18" s="39" t="n"/>
      <c r="DN18" s="39" t="n"/>
      <c r="DO18" s="39" t="n"/>
      <c r="DP18" s="39" t="n"/>
      <c r="DQ18" s="39" t="n"/>
      <c r="DR18" s="39" t="n"/>
      <c r="DS18" s="39" t="n"/>
      <c r="DT18" s="39" t="n"/>
      <c r="DU18" s="39" t="n"/>
      <c r="DV18" s="39" t="n"/>
      <c r="DW18" s="39" t="n"/>
      <c r="DX18" s="39" t="n"/>
      <c r="DY18" s="39" t="n"/>
      <c r="DZ18" s="39" t="n"/>
      <c r="EA18" s="39" t="n"/>
      <c r="EB18" s="39" t="n"/>
      <c r="EC18" s="39" t="n"/>
      <c r="ED18" s="39" t="n"/>
      <c r="EE18" s="39" t="n"/>
      <c r="EF18" s="39" t="n"/>
      <c r="EG18" s="39" t="n"/>
      <c r="EH18" s="39" t="n"/>
      <c r="EI18" s="39" t="n"/>
      <c r="EJ18" s="39" t="n"/>
      <c r="EK18" s="39" t="n"/>
      <c r="EL18" s="39" t="n"/>
      <c r="EM18" s="39" t="n"/>
      <c r="EN18" s="39" t="n"/>
      <c r="EO18" s="39" t="n"/>
      <c r="EP18" s="39" t="n"/>
      <c r="EQ18" s="39" t="n"/>
      <c r="ER18" s="39" t="n"/>
      <c r="ES18" s="39" t="n"/>
      <c r="ET18" s="39" t="n"/>
      <c r="EU18" s="39" t="n"/>
      <c r="EV18" s="39" t="n"/>
      <c r="EW18" s="39" t="n"/>
      <c r="EX18" s="39" t="n"/>
      <c r="EY18" s="39" t="n"/>
      <c r="EZ18" s="39" t="n"/>
      <c r="FA18" s="39" t="n"/>
      <c r="FB18" s="39" t="n"/>
      <c r="FC18" s="39" t="n"/>
      <c r="FD18" s="39" t="n"/>
      <c r="FE18" s="39" t="n"/>
      <c r="FF18" s="39" t="n"/>
      <c r="FG18" s="39" t="n"/>
      <c r="FH18" s="39" t="n"/>
      <c r="FI18" s="39" t="n"/>
      <c r="FJ18" s="39" t="n"/>
      <c r="FK18" s="39" t="n"/>
      <c r="FL18" s="39" t="n"/>
      <c r="FM18" s="39" t="n"/>
      <c r="FN18" s="39" t="n"/>
      <c r="FO18" s="39" t="n"/>
      <c r="FP18" s="39" t="n"/>
      <c r="FQ18" s="39" t="n"/>
      <c r="FR18" s="39" t="n"/>
      <c r="FS18" s="39" t="n"/>
      <c r="FT18" s="39" t="n"/>
      <c r="FU18" s="39" t="n"/>
      <c r="FV18" s="39" t="n"/>
      <c r="FW18" s="39" t="n"/>
      <c r="FX18" s="39" t="n"/>
      <c r="FY18" s="39" t="n"/>
      <c r="FZ18" s="39" t="n"/>
      <c r="GA18" s="39" t="n"/>
      <c r="GB18" s="39" t="n"/>
      <c r="GC18" s="39" t="n"/>
      <c r="GD18" s="39" t="n"/>
      <c r="GE18" s="39" t="n"/>
      <c r="GF18" s="39" t="n"/>
      <c r="GG18" s="39" t="n"/>
      <c r="GH18" s="39" t="n"/>
      <c r="GI18" s="39" t="n"/>
      <c r="GJ18" s="39" t="n"/>
      <c r="GK18" s="39" t="n"/>
      <c r="GL18" s="39" t="n"/>
      <c r="GM18" s="39" t="n"/>
      <c r="GN18" s="39" t="n"/>
      <c r="GO18" s="39" t="n"/>
      <c r="GP18" s="39" t="n"/>
    </row>
    <row r="19" customFormat="1" s="7">
      <c r="B19" s="2" t="n"/>
      <c r="C19" s="4" t="n"/>
      <c r="D19" s="4" t="n"/>
      <c r="E19" s="4" t="n"/>
      <c r="F19" s="4" t="n"/>
      <c r="G19" s="4" t="n"/>
      <c r="H19" s="4" t="n"/>
      <c r="I19" s="6">
        <f>IF(OR(C19=" ",OR(H19="",H19=0)),"",H19/C19)</f>
        <v/>
      </c>
      <c r="J19" s="12" t="n"/>
      <c r="K19" s="6">
        <f>IF(OR(C19=" ",OR(J19="",J19=0)),"",J19/C19)</f>
        <v/>
      </c>
      <c r="L19" s="12" t="n"/>
      <c r="M19" s="6">
        <f>IF(OR(C19=" ",OR(L19="",L19=0)),"",L19/C19)</f>
        <v/>
      </c>
      <c r="N19" s="11" t="n"/>
      <c r="O19" s="6">
        <f>IF(OR(C19=" ",OR(N19="",N19=0)),"",N19/C19)</f>
        <v/>
      </c>
      <c r="P19" s="6">
        <f>IF(OR(H19=0,H19=""),"",J19/H19)</f>
        <v/>
      </c>
      <c r="Q19" s="6">
        <f>IF(OR(H19=0,H19=""),"",SUM(D19:E19)/H19)</f>
        <v/>
      </c>
      <c r="R19" s="6">
        <f>IF(Q19="","",1-Q19)</f>
        <v/>
      </c>
      <c r="S19" s="6">
        <f>IF(OR(I19="",I19=0),"",I19)</f>
        <v/>
      </c>
      <c r="T19" s="13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  <c r="CU19" s="39" t="n"/>
      <c r="CV19" s="39" t="n"/>
      <c r="CW19" s="39" t="n"/>
      <c r="CX19" s="39" t="n"/>
      <c r="CY19" s="39" t="n"/>
      <c r="CZ19" s="39" t="n"/>
      <c r="DA19" s="39" t="n"/>
      <c r="DB19" s="39" t="n"/>
      <c r="DC19" s="39" t="n"/>
      <c r="DD19" s="39" t="n"/>
      <c r="DE19" s="39" t="n"/>
      <c r="DF19" s="39" t="n"/>
      <c r="DG19" s="39" t="n"/>
      <c r="DH19" s="39" t="n"/>
      <c r="DI19" s="39" t="n"/>
      <c r="DJ19" s="39" t="n"/>
      <c r="DK19" s="39" t="n"/>
      <c r="DL19" s="39" t="n"/>
      <c r="DM19" s="39" t="n"/>
      <c r="DN19" s="39" t="n"/>
      <c r="DO19" s="39" t="n"/>
      <c r="DP19" s="39" t="n"/>
      <c r="DQ19" s="39" t="n"/>
      <c r="DR19" s="39" t="n"/>
      <c r="DS19" s="39" t="n"/>
      <c r="DT19" s="39" t="n"/>
      <c r="DU19" s="39" t="n"/>
      <c r="DV19" s="39" t="n"/>
      <c r="DW19" s="39" t="n"/>
      <c r="DX19" s="39" t="n"/>
      <c r="DY19" s="39" t="n"/>
      <c r="DZ19" s="39" t="n"/>
      <c r="EA19" s="39" t="n"/>
      <c r="EB19" s="39" t="n"/>
      <c r="EC19" s="39" t="n"/>
      <c r="ED19" s="39" t="n"/>
      <c r="EE19" s="39" t="n"/>
      <c r="EF19" s="39" t="n"/>
      <c r="EG19" s="39" t="n"/>
      <c r="EH19" s="39" t="n"/>
      <c r="EI19" s="39" t="n"/>
      <c r="EJ19" s="39" t="n"/>
      <c r="EK19" s="39" t="n"/>
      <c r="EL19" s="39" t="n"/>
      <c r="EM19" s="39" t="n"/>
      <c r="EN19" s="39" t="n"/>
      <c r="EO19" s="39" t="n"/>
      <c r="EP19" s="39" t="n"/>
      <c r="EQ19" s="39" t="n"/>
      <c r="ER19" s="39" t="n"/>
      <c r="ES19" s="39" t="n"/>
      <c r="ET19" s="39" t="n"/>
      <c r="EU19" s="39" t="n"/>
      <c r="EV19" s="39" t="n"/>
      <c r="EW19" s="39" t="n"/>
      <c r="EX19" s="39" t="n"/>
      <c r="EY19" s="39" t="n"/>
      <c r="EZ19" s="39" t="n"/>
      <c r="FA19" s="39" t="n"/>
      <c r="FB19" s="39" t="n"/>
      <c r="FC19" s="39" t="n"/>
      <c r="FD19" s="39" t="n"/>
      <c r="FE19" s="39" t="n"/>
      <c r="FF19" s="39" t="n"/>
      <c r="FG19" s="39" t="n"/>
      <c r="FH19" s="39" t="n"/>
      <c r="FI19" s="39" t="n"/>
      <c r="FJ19" s="39" t="n"/>
      <c r="FK19" s="39" t="n"/>
      <c r="FL19" s="39" t="n"/>
      <c r="FM19" s="39" t="n"/>
      <c r="FN19" s="39" t="n"/>
      <c r="FO19" s="39" t="n"/>
      <c r="FP19" s="39" t="n"/>
      <c r="FQ19" s="39" t="n"/>
      <c r="FR19" s="39" t="n"/>
      <c r="FS19" s="39" t="n"/>
      <c r="FT19" s="39" t="n"/>
      <c r="FU19" s="39" t="n"/>
      <c r="FV19" s="39" t="n"/>
      <c r="FW19" s="39" t="n"/>
      <c r="FX19" s="39" t="n"/>
      <c r="FY19" s="39" t="n"/>
      <c r="FZ19" s="39" t="n"/>
      <c r="GA19" s="39" t="n"/>
      <c r="GB19" s="39" t="n"/>
      <c r="GC19" s="39" t="n"/>
      <c r="GD19" s="39" t="n"/>
      <c r="GE19" s="39" t="n"/>
      <c r="GF19" s="39" t="n"/>
      <c r="GG19" s="39" t="n"/>
      <c r="GH19" s="39" t="n"/>
      <c r="GI19" s="39" t="n"/>
      <c r="GJ19" s="39" t="n"/>
      <c r="GK19" s="39" t="n"/>
      <c r="GL19" s="39" t="n"/>
      <c r="GM19" s="39" t="n"/>
      <c r="GN19" s="39" t="n"/>
      <c r="GO19" s="39" t="n"/>
      <c r="GP19" s="39" t="n"/>
    </row>
    <row r="20" ht="14.4" customHeight="1" thickBot="1">
      <c r="B20" s="14" t="inlineStr">
        <is>
          <t>Total</t>
        </is>
      </c>
      <c r="C20" s="15">
        <f>IF(OR(C17=0,C17=""),"",SUM(C17:C19))</f>
        <v/>
      </c>
      <c r="D20" s="15">
        <f>IF(OR(D17=0,D17=""),"",SUM(D17:D19))</f>
        <v/>
      </c>
      <c r="E20" s="15">
        <f>IF(OR(E17=0,E17=""),"",SUM(E17:E19))</f>
        <v/>
      </c>
      <c r="F20" s="15">
        <f>IF(OR(F17=0,F17=""),"",SUM(F17:F19))</f>
        <v/>
      </c>
      <c r="G20" s="15">
        <f>IF(OR(G17=0,G17=""),"",SUM(G17:G19))</f>
        <v/>
      </c>
      <c r="H20" s="15">
        <f>IF(OR(H17=0,H17=""),"",SUM(H17:H19))</f>
        <v/>
      </c>
      <c r="I20" s="1">
        <f>IF(OR(H20=0,H20=""),"",AVERAGE(I17:I19))</f>
        <v/>
      </c>
      <c r="J20" s="15">
        <f>IF(OR(J17=0,J17=""),"",SUM(J17:J19))</f>
        <v/>
      </c>
      <c r="K20" s="1">
        <f>IF(OR(J20=0,J20=""),"",AVERAGE(K17:K19))</f>
        <v/>
      </c>
      <c r="L20" s="15">
        <f>IF(OR(L17=0,L17=""),"",SUM(L17:L19))</f>
        <v/>
      </c>
      <c r="M20" s="1">
        <f>IF(OR(L20=0,L20=""),"",AVERAGE(M17:M19))</f>
        <v/>
      </c>
      <c r="N20" s="15">
        <f>IF(OR(N17=0,N17=""),"",SUM(N17:N19))</f>
        <v/>
      </c>
      <c r="O20" s="1">
        <f>IF(OR(N20=0,N20=""),"",AVERAGE(O17:O19))</f>
        <v/>
      </c>
      <c r="P20" s="1">
        <f>IF(OR(P17=""),"",AVERAGE(P17:P19))</f>
        <v/>
      </c>
      <c r="Q20" s="1">
        <f>IF(OR(Q17=""),"",AVERAGE(Q17:Q19))</f>
        <v/>
      </c>
      <c r="R20" s="1">
        <f>IF(OR(R17=0,R17=""),"",AVERAGE(R17:R19))</f>
        <v/>
      </c>
      <c r="S20" s="1">
        <f>IF(OR(S17=0,S17=""),"",AVERAGE(S17:S19))</f>
        <v/>
      </c>
      <c r="T20" s="25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30" t="n"/>
      <c r="BF20" s="30" t="n"/>
      <c r="BG20" s="30" t="n"/>
      <c r="BH20" s="30" t="n"/>
      <c r="BI20" s="30" t="n"/>
      <c r="BJ20" s="30" t="n"/>
      <c r="BK20" s="30" t="n"/>
      <c r="BL20" s="30" t="n"/>
      <c r="BM20" s="30" t="n"/>
      <c r="BN20" s="30" t="n"/>
      <c r="BO20" s="30" t="n"/>
      <c r="BP20" s="30" t="n"/>
      <c r="BQ20" s="30" t="n"/>
      <c r="BR20" s="30" t="n"/>
      <c r="BS20" s="30" t="n"/>
      <c r="BT20" s="30" t="n"/>
      <c r="BU20" s="30" t="n"/>
      <c r="BV20" s="30" t="n"/>
      <c r="BW20" s="30" t="n"/>
      <c r="BX20" s="30" t="n"/>
      <c r="BY20" s="30" t="n"/>
      <c r="BZ20" s="30" t="n"/>
      <c r="CA20" s="30" t="n"/>
      <c r="CB20" s="30" t="n"/>
      <c r="CC20" s="30" t="n"/>
      <c r="CD20" s="30" t="n"/>
      <c r="CE20" s="30" t="n"/>
      <c r="CF20" s="30" t="n"/>
      <c r="CG20" s="30" t="n"/>
      <c r="CH20" s="30" t="n"/>
      <c r="CI20" s="30" t="n"/>
      <c r="CJ20" s="30" t="n"/>
      <c r="CK20" s="30" t="n"/>
      <c r="CL20" s="30" t="n"/>
      <c r="CM20" s="30" t="n"/>
      <c r="CN20" s="30" t="n"/>
      <c r="CO20" s="30" t="n"/>
      <c r="CP20" s="30" t="n"/>
      <c r="CQ20" s="30" t="n"/>
      <c r="CR20" s="30" t="n"/>
      <c r="CS20" s="30" t="n"/>
      <c r="CT20" s="30" t="n"/>
      <c r="CU20" s="30" t="n"/>
      <c r="CV20" s="30" t="n"/>
      <c r="CW20" s="30" t="n"/>
      <c r="CX20" s="30" t="n"/>
      <c r="CY20" s="30" t="n"/>
      <c r="CZ20" s="30" t="n"/>
      <c r="DA20" s="30" t="n"/>
      <c r="DB20" s="30" t="n"/>
      <c r="DC20" s="30" t="n"/>
      <c r="DD20" s="30" t="n"/>
      <c r="DE20" s="30" t="n"/>
      <c r="DF20" s="30" t="n"/>
      <c r="DG20" s="30" t="n"/>
      <c r="DH20" s="30" t="n"/>
      <c r="DI20" s="30" t="n"/>
      <c r="DJ20" s="30" t="n"/>
      <c r="DK20" s="30" t="n"/>
      <c r="DL20" s="30" t="n"/>
      <c r="DM20" s="30" t="n"/>
      <c r="DN20" s="30" t="n"/>
      <c r="DO20" s="30" t="n"/>
      <c r="DP20" s="30" t="n"/>
      <c r="DQ20" s="30" t="n"/>
      <c r="DR20" s="30" t="n"/>
      <c r="DS20" s="30" t="n"/>
      <c r="DT20" s="30" t="n"/>
      <c r="DU20" s="30" t="n"/>
      <c r="DV20" s="30" t="n"/>
      <c r="DW20" s="30" t="n"/>
      <c r="DX20" s="30" t="n"/>
      <c r="DY20" s="30" t="n"/>
      <c r="DZ20" s="30" t="n"/>
      <c r="EA20" s="30" t="n"/>
      <c r="EB20" s="30" t="n"/>
      <c r="EC20" s="30" t="n"/>
      <c r="ED20" s="30" t="n"/>
      <c r="EE20" s="30" t="n"/>
      <c r="EF20" s="30" t="n"/>
      <c r="EG20" s="30" t="n"/>
      <c r="EH20" s="30" t="n"/>
      <c r="EI20" s="30" t="n"/>
      <c r="EJ20" s="30" t="n"/>
      <c r="EK20" s="30" t="n"/>
      <c r="EL20" s="30" t="n"/>
      <c r="EM20" s="30" t="n"/>
      <c r="EN20" s="30" t="n"/>
      <c r="EO20" s="30" t="n"/>
      <c r="EP20" s="30" t="n"/>
      <c r="EQ20" s="30" t="n"/>
      <c r="ER20" s="30" t="n"/>
      <c r="ES20" s="30" t="n"/>
      <c r="ET20" s="30" t="n"/>
      <c r="EU20" s="30" t="n"/>
      <c r="EV20" s="30" t="n"/>
      <c r="EW20" s="30" t="n"/>
      <c r="EX20" s="30" t="n"/>
      <c r="EY20" s="30" t="n"/>
      <c r="EZ20" s="30" t="n"/>
      <c r="FA20" s="30" t="n"/>
      <c r="FB20" s="30" t="n"/>
      <c r="FC20" s="30" t="n"/>
      <c r="FD20" s="30" t="n"/>
      <c r="FE20" s="30" t="n"/>
      <c r="FF20" s="30" t="n"/>
      <c r="FG20" s="30" t="n"/>
      <c r="FH20" s="30" t="n"/>
      <c r="FI20" s="30" t="n"/>
      <c r="FJ20" s="30" t="n"/>
      <c r="FK20" s="30" t="n"/>
      <c r="FL20" s="30" t="n"/>
      <c r="FM20" s="30" t="n"/>
      <c r="FN20" s="30" t="n"/>
      <c r="FO20" s="30" t="n"/>
      <c r="FP20" s="30" t="n"/>
      <c r="FQ20" s="30" t="n"/>
      <c r="FR20" s="30" t="n"/>
      <c r="FS20" s="30" t="n"/>
      <c r="FT20" s="30" t="n"/>
      <c r="FU20" s="30" t="n"/>
      <c r="FV20" s="30" t="n"/>
      <c r="FW20" s="30" t="n"/>
      <c r="FX20" s="30" t="n"/>
      <c r="FY20" s="30" t="n"/>
      <c r="FZ20" s="30" t="n"/>
      <c r="GA20" s="30" t="n"/>
      <c r="GB20" s="30" t="n"/>
      <c r="GC20" s="30" t="n"/>
      <c r="GD20" s="30" t="n"/>
      <c r="GE20" s="30" t="n"/>
      <c r="GF20" s="30" t="n"/>
      <c r="GG20" s="30" t="n"/>
      <c r="GH20" s="30" t="n"/>
      <c r="GI20" s="30" t="n"/>
      <c r="GJ20" s="30" t="n"/>
      <c r="GK20" s="30" t="n"/>
      <c r="GL20" s="30" t="n"/>
      <c r="GM20" s="30" t="n"/>
      <c r="GN20" s="30" t="n"/>
      <c r="GO20" s="30" t="n"/>
      <c r="GP20" s="30" t="n"/>
    </row>
    <row r="21">
      <c r="B21" s="34" t="n"/>
      <c r="C21" s="35" t="n"/>
      <c r="D21" s="32" t="n"/>
      <c r="E21" s="32" t="n"/>
      <c r="F21" s="35" t="n"/>
      <c r="G21" s="32" t="n"/>
      <c r="H21" s="32" t="n"/>
      <c r="I21" s="35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3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</row>
    <row r="22" ht="13.8" customHeight="1" thickBot="1">
      <c r="B22" s="36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7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0" t="n"/>
      <c r="BG22" s="30" t="n"/>
      <c r="BH22" s="30" t="n"/>
      <c r="BI22" s="30" t="n"/>
      <c r="BJ22" s="30" t="n"/>
      <c r="BK22" s="30" t="n"/>
      <c r="BL22" s="30" t="n"/>
      <c r="BM22" s="30" t="n"/>
      <c r="BN22" s="30" t="n"/>
      <c r="BO22" s="30" t="n"/>
      <c r="BP22" s="30" t="n"/>
      <c r="BQ22" s="30" t="n"/>
      <c r="BR22" s="30" t="n"/>
      <c r="BS22" s="30" t="n"/>
      <c r="BT22" s="30" t="n"/>
      <c r="BU22" s="30" t="n"/>
      <c r="BV22" s="30" t="n"/>
      <c r="BW22" s="30" t="n"/>
      <c r="BX22" s="30" t="n"/>
      <c r="BY22" s="30" t="n"/>
      <c r="BZ22" s="30" t="n"/>
      <c r="CA22" s="30" t="n"/>
      <c r="CB22" s="30" t="n"/>
      <c r="CC22" s="30" t="n"/>
      <c r="CD22" s="30" t="n"/>
      <c r="CE22" s="30" t="n"/>
      <c r="CF22" s="30" t="n"/>
      <c r="CG22" s="30" t="n"/>
      <c r="CH22" s="30" t="n"/>
      <c r="CI22" s="30" t="n"/>
      <c r="CJ22" s="30" t="n"/>
      <c r="CK22" s="30" t="n"/>
      <c r="CL22" s="30" t="n"/>
      <c r="CM22" s="30" t="n"/>
      <c r="CN22" s="30" t="n"/>
      <c r="CO22" s="30" t="n"/>
      <c r="CP22" s="30" t="n"/>
      <c r="CQ22" s="30" t="n"/>
      <c r="CR22" s="30" t="n"/>
      <c r="CS22" s="30" t="n"/>
      <c r="CT22" s="30" t="n"/>
      <c r="CU22" s="30" t="n"/>
      <c r="CV22" s="30" t="n"/>
      <c r="CW22" s="30" t="n"/>
      <c r="CX22" s="30" t="n"/>
      <c r="CY22" s="30" t="n"/>
      <c r="CZ22" s="30" t="n"/>
      <c r="DA22" s="30" t="n"/>
      <c r="DB22" s="30" t="n"/>
      <c r="DC22" s="30" t="n"/>
      <c r="DD22" s="30" t="n"/>
      <c r="DE22" s="30" t="n"/>
      <c r="DF22" s="30" t="n"/>
      <c r="DG22" s="30" t="n"/>
      <c r="DH22" s="30" t="n"/>
      <c r="DI22" s="30" t="n"/>
      <c r="DJ22" s="30" t="n"/>
      <c r="DK22" s="30" t="n"/>
      <c r="DL22" s="30" t="n"/>
      <c r="DM22" s="30" t="n"/>
      <c r="DN22" s="30" t="n"/>
      <c r="DO22" s="30" t="n"/>
      <c r="DP22" s="30" t="n"/>
      <c r="DQ22" s="30" t="n"/>
      <c r="DR22" s="30" t="n"/>
      <c r="DS22" s="30" t="n"/>
      <c r="DT22" s="30" t="n"/>
      <c r="DU22" s="30" t="n"/>
      <c r="DV22" s="30" t="n"/>
      <c r="DW22" s="30" t="n"/>
      <c r="DX22" s="30" t="n"/>
      <c r="DY22" s="30" t="n"/>
      <c r="DZ22" s="30" t="n"/>
      <c r="EA22" s="30" t="n"/>
      <c r="EB22" s="30" t="n"/>
      <c r="EC22" s="30" t="n"/>
      <c r="ED22" s="30" t="n"/>
      <c r="EE22" s="30" t="n"/>
      <c r="EF22" s="30" t="n"/>
      <c r="EG22" s="30" t="n"/>
      <c r="EH22" s="30" t="n"/>
      <c r="EI22" s="30" t="n"/>
      <c r="EJ22" s="30" t="n"/>
      <c r="EK22" s="30" t="n"/>
      <c r="EL22" s="30" t="n"/>
      <c r="EM22" s="30" t="n"/>
      <c r="EN22" s="30" t="n"/>
      <c r="EO22" s="30" t="n"/>
      <c r="EP22" s="30" t="n"/>
      <c r="EQ22" s="30" t="n"/>
      <c r="ER22" s="30" t="n"/>
      <c r="ES22" s="30" t="n"/>
      <c r="ET22" s="30" t="n"/>
      <c r="EU22" s="30" t="n"/>
      <c r="EV22" s="30" t="n"/>
      <c r="EW22" s="30" t="n"/>
      <c r="EX22" s="30" t="n"/>
      <c r="EY22" s="30" t="n"/>
      <c r="EZ22" s="30" t="n"/>
      <c r="FA22" s="30" t="n"/>
      <c r="FB22" s="30" t="n"/>
      <c r="FC22" s="30" t="n"/>
      <c r="FD22" s="30" t="n"/>
      <c r="FE22" s="30" t="n"/>
      <c r="FF22" s="30" t="n"/>
      <c r="FG22" s="30" t="n"/>
      <c r="FH22" s="30" t="n"/>
      <c r="FI22" s="30" t="n"/>
      <c r="FJ22" s="30" t="n"/>
      <c r="FK22" s="30" t="n"/>
      <c r="FL22" s="30" t="n"/>
      <c r="FM22" s="30" t="n"/>
      <c r="FN22" s="30" t="n"/>
      <c r="FO22" s="30" t="n"/>
      <c r="FP22" s="30" t="n"/>
      <c r="FQ22" s="30" t="n"/>
      <c r="FR22" s="30" t="n"/>
      <c r="FS22" s="30" t="n"/>
      <c r="FT22" s="30" t="n"/>
      <c r="FU22" s="30" t="n"/>
      <c r="FV22" s="30" t="n"/>
      <c r="FW22" s="30" t="n"/>
      <c r="FX22" s="30" t="n"/>
      <c r="FY22" s="30" t="n"/>
      <c r="FZ22" s="30" t="n"/>
      <c r="GA22" s="30" t="n"/>
      <c r="GB22" s="30" t="n"/>
      <c r="GC22" s="30" t="n"/>
      <c r="GD22" s="30" t="n"/>
      <c r="GE22" s="30" t="n"/>
      <c r="GF22" s="30" t="n"/>
      <c r="GG22" s="30" t="n"/>
      <c r="GH22" s="30" t="n"/>
      <c r="GI22" s="30" t="n"/>
      <c r="GJ22" s="30" t="n"/>
      <c r="GK22" s="30" t="n"/>
      <c r="GL22" s="30" t="n"/>
      <c r="GM22" s="30" t="n"/>
      <c r="GN22" s="30" t="n"/>
      <c r="GO22" s="30" t="n"/>
      <c r="GP22" s="30" t="n"/>
    </row>
    <row r="23" ht="13.8" customHeight="1" thickBot="1">
      <c r="B23" s="41" t="inlineStr">
        <is>
          <t>Análisis de Resultados IT III</t>
        </is>
      </c>
      <c r="C23" s="42" t="n"/>
      <c r="D23" s="43" t="n"/>
      <c r="E23" s="43" t="n"/>
      <c r="F23" s="42" t="n"/>
      <c r="G23" s="43" t="n"/>
      <c r="H23" s="43" t="n"/>
      <c r="I23" s="42" t="n"/>
      <c r="J23" s="43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5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</row>
    <row r="24" ht="13.5" customHeight="1" thickBot="1">
      <c r="B24" s="9" t="inlineStr">
        <is>
          <t>Funcionalidad o Requerimiento</t>
        </is>
      </c>
      <c r="C24" s="9" t="inlineStr">
        <is>
          <t>Nro. Reqs Prueba</t>
        </is>
      </c>
      <c r="D24" s="9" t="inlineStr">
        <is>
          <t>No Conformidades</t>
        </is>
      </c>
      <c r="E24" s="175" t="n"/>
      <c r="F24" s="176" t="n"/>
      <c r="G24" s="9" t="inlineStr">
        <is>
          <t>NC Anulados</t>
        </is>
      </c>
      <c r="H24" s="181" t="inlineStr">
        <is>
          <t>Resultados</t>
        </is>
      </c>
      <c r="I24" s="175" t="n"/>
      <c r="J24" s="175" t="n"/>
      <c r="K24" s="175" t="n"/>
      <c r="L24" s="175" t="n"/>
      <c r="M24" s="175" t="n"/>
      <c r="N24" s="175" t="n"/>
      <c r="O24" s="176" t="n"/>
      <c r="P24" s="9" t="inlineStr">
        <is>
          <t>Correctitud</t>
        </is>
      </c>
      <c r="Q24" s="9" t="inlineStr">
        <is>
          <t>Densidad NC</t>
        </is>
      </c>
      <c r="R24" s="9" t="inlineStr">
        <is>
          <t>Confiab.</t>
        </is>
      </c>
      <c r="S24" s="9" t="inlineStr">
        <is>
          <t>Cobertura</t>
        </is>
      </c>
      <c r="T24" s="9" t="inlineStr">
        <is>
          <t>Observaciones</t>
        </is>
      </c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0" t="n"/>
      <c r="BG24" s="30" t="n"/>
      <c r="BH24" s="30" t="n"/>
      <c r="BI24" s="30" t="n"/>
      <c r="BJ24" s="30" t="n"/>
      <c r="BK24" s="30" t="n"/>
      <c r="BL24" s="30" t="n"/>
      <c r="BM24" s="30" t="n"/>
      <c r="BN24" s="30" t="n"/>
      <c r="BO24" s="30" t="n"/>
      <c r="BP24" s="30" t="n"/>
      <c r="BQ24" s="30" t="n"/>
      <c r="BR24" s="30" t="n"/>
      <c r="BS24" s="30" t="n"/>
      <c r="BT24" s="30" t="n"/>
      <c r="BU24" s="30" t="n"/>
      <c r="BV24" s="30" t="n"/>
      <c r="BW24" s="30" t="n"/>
      <c r="BX24" s="30" t="n"/>
      <c r="BY24" s="30" t="n"/>
      <c r="BZ24" s="30" t="n"/>
      <c r="CA24" s="30" t="n"/>
      <c r="CB24" s="30" t="n"/>
      <c r="CC24" s="30" t="n"/>
      <c r="CD24" s="30" t="n"/>
      <c r="CE24" s="30" t="n"/>
      <c r="CF24" s="30" t="n"/>
      <c r="CG24" s="30" t="n"/>
      <c r="CH24" s="30" t="n"/>
      <c r="CI24" s="30" t="n"/>
      <c r="CJ24" s="30" t="n"/>
      <c r="CK24" s="30" t="n"/>
      <c r="CL24" s="30" t="n"/>
      <c r="CM24" s="30" t="n"/>
      <c r="CN24" s="30" t="n"/>
      <c r="CO24" s="30" t="n"/>
      <c r="CP24" s="30" t="n"/>
      <c r="CQ24" s="30" t="n"/>
      <c r="CR24" s="30" t="n"/>
      <c r="CS24" s="30" t="n"/>
      <c r="CT24" s="30" t="n"/>
      <c r="CU24" s="30" t="n"/>
      <c r="CV24" s="30" t="n"/>
      <c r="CW24" s="30" t="n"/>
      <c r="CX24" s="30" t="n"/>
      <c r="CY24" s="30" t="n"/>
      <c r="CZ24" s="30" t="n"/>
      <c r="DA24" s="30" t="n"/>
      <c r="DB24" s="30" t="n"/>
      <c r="DC24" s="30" t="n"/>
      <c r="DD24" s="30" t="n"/>
      <c r="DE24" s="30" t="n"/>
      <c r="DF24" s="30" t="n"/>
      <c r="DG24" s="30" t="n"/>
      <c r="DH24" s="30" t="n"/>
      <c r="DI24" s="30" t="n"/>
      <c r="DJ24" s="30" t="n"/>
      <c r="DK24" s="30" t="n"/>
      <c r="DL24" s="30" t="n"/>
      <c r="DM24" s="30" t="n"/>
      <c r="DN24" s="30" t="n"/>
      <c r="DO24" s="30" t="n"/>
      <c r="DP24" s="30" t="n"/>
      <c r="DQ24" s="30" t="n"/>
      <c r="DR24" s="30" t="n"/>
      <c r="DS24" s="30" t="n"/>
      <c r="DT24" s="30" t="n"/>
      <c r="DU24" s="30" t="n"/>
      <c r="DV24" s="30" t="n"/>
      <c r="DW24" s="30" t="n"/>
      <c r="DX24" s="30" t="n"/>
      <c r="DY24" s="30" t="n"/>
      <c r="DZ24" s="30" t="n"/>
      <c r="EA24" s="30" t="n"/>
      <c r="EB24" s="30" t="n"/>
      <c r="EC24" s="30" t="n"/>
      <c r="ED24" s="30" t="n"/>
      <c r="EE24" s="30" t="n"/>
      <c r="EF24" s="30" t="n"/>
      <c r="EG24" s="30" t="n"/>
      <c r="EH24" s="30" t="n"/>
      <c r="EI24" s="30" t="n"/>
      <c r="EJ24" s="30" t="n"/>
      <c r="EK24" s="30" t="n"/>
      <c r="EL24" s="30" t="n"/>
      <c r="EM24" s="30" t="n"/>
      <c r="EN24" s="30" t="n"/>
      <c r="EO24" s="30" t="n"/>
      <c r="EP24" s="30" t="n"/>
      <c r="EQ24" s="30" t="n"/>
      <c r="ER24" s="30" t="n"/>
      <c r="ES24" s="30" t="n"/>
      <c r="ET24" s="30" t="n"/>
      <c r="EU24" s="30" t="n"/>
      <c r="EV24" s="30" t="n"/>
      <c r="EW24" s="30" t="n"/>
      <c r="EX24" s="30" t="n"/>
      <c r="EY24" s="30" t="n"/>
      <c r="EZ24" s="30" t="n"/>
      <c r="FA24" s="30" t="n"/>
      <c r="FB24" s="30" t="n"/>
      <c r="FC24" s="30" t="n"/>
      <c r="FD24" s="30" t="n"/>
      <c r="FE24" s="30" t="n"/>
      <c r="FF24" s="30" t="n"/>
      <c r="FG24" s="30" t="n"/>
      <c r="FH24" s="30" t="n"/>
      <c r="FI24" s="30" t="n"/>
      <c r="FJ24" s="30" t="n"/>
      <c r="FK24" s="30" t="n"/>
      <c r="FL24" s="30" t="n"/>
      <c r="FM24" s="30" t="n"/>
      <c r="FN24" s="30" t="n"/>
      <c r="FO24" s="30" t="n"/>
      <c r="FP24" s="30" t="n"/>
      <c r="FQ24" s="30" t="n"/>
      <c r="FR24" s="30" t="n"/>
      <c r="FS24" s="30" t="n"/>
      <c r="FT24" s="30" t="n"/>
      <c r="FU24" s="30" t="n"/>
      <c r="FV24" s="30" t="n"/>
      <c r="FW24" s="30" t="n"/>
      <c r="FX24" s="30" t="n"/>
      <c r="FY24" s="30" t="n"/>
      <c r="FZ24" s="30" t="n"/>
      <c r="GA24" s="30" t="n"/>
      <c r="GB24" s="30" t="n"/>
      <c r="GC24" s="30" t="n"/>
      <c r="GD24" s="30" t="n"/>
      <c r="GE24" s="30" t="n"/>
      <c r="GF24" s="30" t="n"/>
      <c r="GG24" s="30" t="n"/>
      <c r="GH24" s="30" t="n"/>
      <c r="GI24" s="30" t="n"/>
      <c r="GJ24" s="30" t="n"/>
      <c r="GK24" s="30" t="n"/>
      <c r="GL24" s="30" t="n"/>
      <c r="GM24" s="30" t="n"/>
      <c r="GN24" s="30" t="n"/>
      <c r="GO24" s="30" t="n"/>
      <c r="GP24" s="30" t="n"/>
    </row>
    <row r="25" ht="13.8" customHeight="1" thickBot="1">
      <c r="B25" s="178" t="n"/>
      <c r="C25" s="178" t="n"/>
      <c r="D25" s="9" t="inlineStr">
        <is>
          <t>Bloqueante</t>
        </is>
      </c>
      <c r="E25" s="9" t="inlineStr">
        <is>
          <t>Funcional</t>
        </is>
      </c>
      <c r="F25" s="9" t="inlineStr">
        <is>
          <t>Presentación</t>
        </is>
      </c>
      <c r="G25" s="178" t="n"/>
      <c r="H25" s="181" t="inlineStr">
        <is>
          <t>Ejecutados</t>
        </is>
      </c>
      <c r="I25" s="176" t="n"/>
      <c r="J25" s="179" t="inlineStr">
        <is>
          <t>OK</t>
        </is>
      </c>
      <c r="K25" s="180" t="n"/>
      <c r="L25" s="182" t="inlineStr">
        <is>
          <t>NOK</t>
        </is>
      </c>
      <c r="M25" s="180" t="n"/>
      <c r="N25" s="181" t="inlineStr">
        <is>
          <t>PDTE</t>
        </is>
      </c>
      <c r="O25" s="176" t="n"/>
      <c r="P25" s="178" t="n"/>
      <c r="Q25" s="178" t="n"/>
      <c r="R25" s="178" t="n"/>
      <c r="S25" s="178" t="n"/>
      <c r="T25" s="178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30" t="n"/>
      <c r="BN25" s="30" t="n"/>
      <c r="BO25" s="30" t="n"/>
      <c r="BP25" s="30" t="n"/>
      <c r="BQ25" s="30" t="n"/>
      <c r="BR25" s="30" t="n"/>
      <c r="BS25" s="30" t="n"/>
      <c r="BT25" s="30" t="n"/>
      <c r="BU25" s="30" t="n"/>
      <c r="BV25" s="30" t="n"/>
      <c r="BW25" s="30" t="n"/>
      <c r="BX25" s="30" t="n"/>
      <c r="BY25" s="30" t="n"/>
      <c r="BZ25" s="30" t="n"/>
      <c r="CA25" s="30" t="n"/>
      <c r="CB25" s="30" t="n"/>
      <c r="CC25" s="30" t="n"/>
      <c r="CD25" s="30" t="n"/>
      <c r="CE25" s="30" t="n"/>
      <c r="CF25" s="30" t="n"/>
      <c r="CG25" s="30" t="n"/>
      <c r="CH25" s="30" t="n"/>
      <c r="CI25" s="30" t="n"/>
      <c r="CJ25" s="30" t="n"/>
      <c r="CK25" s="30" t="n"/>
      <c r="CL25" s="30" t="n"/>
      <c r="CM25" s="30" t="n"/>
      <c r="CN25" s="30" t="n"/>
      <c r="CO25" s="30" t="n"/>
      <c r="CP25" s="30" t="n"/>
      <c r="CQ25" s="30" t="n"/>
      <c r="CR25" s="30" t="n"/>
      <c r="CS25" s="30" t="n"/>
      <c r="CT25" s="30" t="n"/>
      <c r="CU25" s="30" t="n"/>
      <c r="CV25" s="30" t="n"/>
      <c r="CW25" s="30" t="n"/>
      <c r="CX25" s="30" t="n"/>
      <c r="CY25" s="30" t="n"/>
      <c r="CZ25" s="30" t="n"/>
      <c r="DA25" s="30" t="n"/>
      <c r="DB25" s="30" t="n"/>
      <c r="DC25" s="30" t="n"/>
      <c r="DD25" s="30" t="n"/>
      <c r="DE25" s="30" t="n"/>
      <c r="DF25" s="30" t="n"/>
      <c r="DG25" s="30" t="n"/>
      <c r="DH25" s="30" t="n"/>
      <c r="DI25" s="30" t="n"/>
      <c r="DJ25" s="30" t="n"/>
      <c r="DK25" s="30" t="n"/>
      <c r="DL25" s="30" t="n"/>
      <c r="DM25" s="30" t="n"/>
      <c r="DN25" s="30" t="n"/>
      <c r="DO25" s="30" t="n"/>
      <c r="DP25" s="30" t="n"/>
      <c r="DQ25" s="30" t="n"/>
      <c r="DR25" s="30" t="n"/>
      <c r="DS25" s="30" t="n"/>
      <c r="DT25" s="30" t="n"/>
      <c r="DU25" s="30" t="n"/>
      <c r="DV25" s="30" t="n"/>
      <c r="DW25" s="30" t="n"/>
      <c r="DX25" s="30" t="n"/>
      <c r="DY25" s="30" t="n"/>
      <c r="DZ25" s="30" t="n"/>
      <c r="EA25" s="30" t="n"/>
      <c r="EB25" s="30" t="n"/>
      <c r="EC25" s="30" t="n"/>
      <c r="ED25" s="30" t="n"/>
      <c r="EE25" s="30" t="n"/>
      <c r="EF25" s="30" t="n"/>
      <c r="EG25" s="30" t="n"/>
      <c r="EH25" s="30" t="n"/>
      <c r="EI25" s="30" t="n"/>
      <c r="EJ25" s="30" t="n"/>
      <c r="EK25" s="30" t="n"/>
      <c r="EL25" s="30" t="n"/>
      <c r="EM25" s="30" t="n"/>
      <c r="EN25" s="30" t="n"/>
      <c r="EO25" s="30" t="n"/>
      <c r="EP25" s="30" t="n"/>
      <c r="EQ25" s="30" t="n"/>
      <c r="ER25" s="30" t="n"/>
      <c r="ES25" s="30" t="n"/>
      <c r="ET25" s="30" t="n"/>
      <c r="EU25" s="30" t="n"/>
      <c r="EV25" s="30" t="n"/>
      <c r="EW25" s="30" t="n"/>
      <c r="EX25" s="30" t="n"/>
      <c r="EY25" s="30" t="n"/>
      <c r="EZ25" s="30" t="n"/>
      <c r="FA25" s="30" t="n"/>
      <c r="FB25" s="30" t="n"/>
      <c r="FC25" s="30" t="n"/>
      <c r="FD25" s="30" t="n"/>
      <c r="FE25" s="30" t="n"/>
      <c r="FF25" s="30" t="n"/>
      <c r="FG25" s="30" t="n"/>
      <c r="FH25" s="30" t="n"/>
      <c r="FI25" s="30" t="n"/>
      <c r="FJ25" s="30" t="n"/>
      <c r="FK25" s="30" t="n"/>
      <c r="FL25" s="30" t="n"/>
      <c r="FM25" s="30" t="n"/>
      <c r="FN25" s="30" t="n"/>
      <c r="FO25" s="30" t="n"/>
      <c r="FP25" s="30" t="n"/>
      <c r="FQ25" s="30" t="n"/>
      <c r="FR25" s="30" t="n"/>
      <c r="FS25" s="30" t="n"/>
      <c r="FT25" s="30" t="n"/>
      <c r="FU25" s="30" t="n"/>
      <c r="FV25" s="30" t="n"/>
      <c r="FW25" s="30" t="n"/>
      <c r="FX25" s="30" t="n"/>
      <c r="FY25" s="30" t="n"/>
      <c r="FZ25" s="30" t="n"/>
      <c r="GA25" s="30" t="n"/>
      <c r="GB25" s="30" t="n"/>
      <c r="GC25" s="30" t="n"/>
      <c r="GD25" s="30" t="n"/>
      <c r="GE25" s="30" t="n"/>
      <c r="GF25" s="30" t="n"/>
      <c r="GG25" s="30" t="n"/>
      <c r="GH25" s="30" t="n"/>
      <c r="GI25" s="30" t="n"/>
      <c r="GJ25" s="30" t="n"/>
      <c r="GK25" s="30" t="n"/>
      <c r="GL25" s="30" t="n"/>
      <c r="GM25" s="30" t="n"/>
      <c r="GN25" s="30" t="n"/>
      <c r="GO25" s="30" t="n"/>
      <c r="GP25" s="30" t="n"/>
    </row>
    <row r="26" customFormat="1" s="7">
      <c r="B26" s="22">
        <f>IF(#REF!=0,"",#REF!)</f>
        <v/>
      </c>
      <c r="C26" s="17">
        <f>IF(COUNTIF(#REF!,"OK")+COUNTIF(#REF!,"NOK")+COUNTIF(#REF!,"PDTE")+COUNTIF(#REF!,"N/A")=0,"",COUNTIF(#REF!,"OK")+COUNTIF(#REF!,"NOK")+COUNTIF(#REF!,"PDTE")+COUNTIF(#REF!,"N/A"))</f>
        <v/>
      </c>
      <c r="D26" s="10" t="n"/>
      <c r="E26" s="10" t="n"/>
      <c r="F26" s="10" t="n"/>
      <c r="G26" s="17">
        <f>IF(COUNTIF(#REF!,"N/A")=0,"",COUNTIF(#REF!,"N/A"))</f>
        <v/>
      </c>
      <c r="H26" s="17">
        <f>IF(COUNTIF(#REF!,"OK")+COUNTIF(#REF!,"NOK")=0,"",COUNTIF(#REF!,"OK")+COUNTIF(#REF!,"NOK"))</f>
        <v/>
      </c>
      <c r="I26" s="6">
        <f>IF(OR(C26=" ",OR(H26="",H26=0)),"",H26/C26)</f>
        <v/>
      </c>
      <c r="J26" s="23">
        <f>IF(COUNTIF(#REF!,"OK")=0,"",COUNTIF(#REF!,"OK"))</f>
        <v/>
      </c>
      <c r="K26" s="6">
        <f>IF(OR(C26=" ",OR(J26="",J26=0)),"",J26/C26)</f>
        <v/>
      </c>
      <c r="L26" s="23">
        <f>IF(COUNTIF(#REF!,"NOK")=0,"",COUNTIF(#REF!,"NOK"))</f>
        <v/>
      </c>
      <c r="M26" s="6">
        <f>IF(OR(C26=" ",OR(L26="",L26=0)),"",L26/C26)</f>
        <v/>
      </c>
      <c r="N26" s="23">
        <f>IF(COUNTIF(#REF!,"PDTE")=0,"",COUNTIF(#REF!,"PDTE"))</f>
        <v/>
      </c>
      <c r="O26" s="6">
        <f>IF(OR(C26=" ",OR(N26="",N26=0)),"",N26/C26)</f>
        <v/>
      </c>
      <c r="P26" s="6">
        <f>IF(OR(H26=0,H26=""),"",SUM(J26)/H26)</f>
        <v/>
      </c>
      <c r="Q26" s="6">
        <f>IF(OR(H26=0,H26=""),"",SUM(D26:F26)/H26)</f>
        <v/>
      </c>
      <c r="R26" s="6">
        <f>IF(Q26="","",1-Q26)</f>
        <v/>
      </c>
      <c r="S26" s="6">
        <f>IF(OR(I26="",I26=0),"",I26)</f>
        <v/>
      </c>
      <c r="T26" s="24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  <c r="CZ26" s="39" t="n"/>
      <c r="DA26" s="39" t="n"/>
      <c r="DB26" s="39" t="n"/>
      <c r="DC26" s="39" t="n"/>
      <c r="DD26" s="39" t="n"/>
      <c r="DE26" s="39" t="n"/>
      <c r="DF26" s="39" t="n"/>
      <c r="DG26" s="39" t="n"/>
      <c r="DH26" s="39" t="n"/>
      <c r="DI26" s="39" t="n"/>
      <c r="DJ26" s="39" t="n"/>
      <c r="DK26" s="39" t="n"/>
      <c r="DL26" s="39" t="n"/>
      <c r="DM26" s="39" t="n"/>
      <c r="DN26" s="39" t="n"/>
      <c r="DO26" s="39" t="n"/>
      <c r="DP26" s="39" t="n"/>
      <c r="DQ26" s="39" t="n"/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39" t="n"/>
      <c r="EI26" s="39" t="n"/>
      <c r="EJ26" s="39" t="n"/>
      <c r="EK26" s="39" t="n"/>
      <c r="EL26" s="39" t="n"/>
      <c r="EM26" s="39" t="n"/>
      <c r="EN26" s="39" t="n"/>
      <c r="EO26" s="39" t="n"/>
      <c r="EP26" s="39" t="n"/>
      <c r="EQ26" s="39" t="n"/>
      <c r="ER26" s="39" t="n"/>
      <c r="ES26" s="39" t="n"/>
      <c r="ET26" s="39" t="n"/>
      <c r="EU26" s="39" t="n"/>
      <c r="EV26" s="39" t="n"/>
      <c r="EW26" s="39" t="n"/>
      <c r="EX26" s="39" t="n"/>
      <c r="EY26" s="39" t="n"/>
      <c r="EZ26" s="39" t="n"/>
      <c r="FA26" s="39" t="n"/>
      <c r="FB26" s="39" t="n"/>
      <c r="FC26" s="39" t="n"/>
      <c r="FD26" s="39" t="n"/>
      <c r="FE26" s="39" t="n"/>
      <c r="FF26" s="39" t="n"/>
      <c r="FG26" s="39" t="n"/>
      <c r="FH26" s="39" t="n"/>
      <c r="FI26" s="39" t="n"/>
      <c r="FJ26" s="39" t="n"/>
      <c r="FK26" s="39" t="n"/>
      <c r="FL26" s="39" t="n"/>
      <c r="FM26" s="39" t="n"/>
      <c r="FN26" s="39" t="n"/>
      <c r="FO26" s="39" t="n"/>
      <c r="FP26" s="39" t="n"/>
      <c r="FQ26" s="39" t="n"/>
      <c r="FR26" s="39" t="n"/>
      <c r="FS26" s="39" t="n"/>
      <c r="FT26" s="39" t="n"/>
      <c r="FU26" s="39" t="n"/>
      <c r="FV26" s="39" t="n"/>
      <c r="FW26" s="39" t="n"/>
      <c r="FX26" s="39" t="n"/>
      <c r="FY26" s="39" t="n"/>
      <c r="FZ26" s="39" t="n"/>
      <c r="GA26" s="39" t="n"/>
      <c r="GB26" s="39" t="n"/>
      <c r="GC26" s="39" t="n"/>
      <c r="GD26" s="39" t="n"/>
      <c r="GE26" s="39" t="n"/>
      <c r="GF26" s="39" t="n"/>
      <c r="GG26" s="39" t="n"/>
      <c r="GH26" s="39" t="n"/>
      <c r="GI26" s="39" t="n"/>
      <c r="GJ26" s="39" t="n"/>
      <c r="GK26" s="39" t="n"/>
      <c r="GL26" s="39" t="n"/>
      <c r="GM26" s="39" t="n"/>
      <c r="GN26" s="39" t="n"/>
      <c r="GO26" s="39" t="n"/>
      <c r="GP26" s="39" t="n"/>
    </row>
    <row r="27" customFormat="1" s="7">
      <c r="B27" s="2" t="n"/>
      <c r="C27" s="4" t="n"/>
      <c r="D27" s="4" t="n"/>
      <c r="E27" s="4" t="n"/>
      <c r="F27" s="4" t="n"/>
      <c r="G27" s="4" t="n"/>
      <c r="H27" s="4" t="n"/>
      <c r="I27" s="6">
        <f>IF(OR(C27=" ",OR(H27="",H27=0)),"",H27/C27)</f>
        <v/>
      </c>
      <c r="J27" s="12" t="n"/>
      <c r="K27" s="6">
        <f>IF(OR(C27=" ",OR(J27="",J27=0)),"",J27/C27)</f>
        <v/>
      </c>
      <c r="L27" s="12" t="n"/>
      <c r="M27" s="6">
        <f>IF(OR(C27=" ",OR(L27="",L27=0)),"",L27/C27)</f>
        <v/>
      </c>
      <c r="N27" s="11" t="n"/>
      <c r="O27" s="6">
        <f>IF(OR(C27=" ",OR(N27="",N27=0)),"",N27/C27)</f>
        <v/>
      </c>
      <c r="P27" s="6">
        <f>IF(OR(H27=0,H27=""),"",J27/H27)</f>
        <v/>
      </c>
      <c r="Q27" s="6">
        <f>IF(OR(H27=0,H27=""),"",SUM(D27:E27)/H27)</f>
        <v/>
      </c>
      <c r="R27" s="6">
        <f>IF(Q27="","",1-Q27)</f>
        <v/>
      </c>
      <c r="S27" s="6">
        <f>IF(OR(I27="",I27=0),"",I27)</f>
        <v/>
      </c>
      <c r="T27" s="13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  <c r="CZ27" s="39" t="n"/>
      <c r="DA27" s="39" t="n"/>
      <c r="DB27" s="39" t="n"/>
      <c r="DC27" s="39" t="n"/>
      <c r="DD27" s="39" t="n"/>
      <c r="DE27" s="39" t="n"/>
      <c r="DF27" s="39" t="n"/>
      <c r="DG27" s="39" t="n"/>
      <c r="DH27" s="39" t="n"/>
      <c r="DI27" s="39" t="n"/>
      <c r="DJ27" s="39" t="n"/>
      <c r="DK27" s="39" t="n"/>
      <c r="DL27" s="39" t="n"/>
      <c r="DM27" s="39" t="n"/>
      <c r="DN27" s="39" t="n"/>
      <c r="DO27" s="39" t="n"/>
      <c r="DP27" s="39" t="n"/>
      <c r="DQ27" s="39" t="n"/>
      <c r="DR27" s="39" t="n"/>
      <c r="DS27" s="39" t="n"/>
      <c r="DT27" s="39" t="n"/>
      <c r="DU27" s="39" t="n"/>
      <c r="DV27" s="39" t="n"/>
      <c r="DW27" s="39" t="n"/>
      <c r="DX27" s="39" t="n"/>
      <c r="DY27" s="39" t="n"/>
      <c r="DZ27" s="39" t="n"/>
      <c r="EA27" s="39" t="n"/>
      <c r="EB27" s="39" t="n"/>
      <c r="EC27" s="39" t="n"/>
      <c r="ED27" s="39" t="n"/>
      <c r="EE27" s="39" t="n"/>
      <c r="EF27" s="39" t="n"/>
      <c r="EG27" s="39" t="n"/>
      <c r="EH27" s="39" t="n"/>
      <c r="EI27" s="39" t="n"/>
      <c r="EJ27" s="39" t="n"/>
      <c r="EK27" s="39" t="n"/>
      <c r="EL27" s="39" t="n"/>
      <c r="EM27" s="39" t="n"/>
      <c r="EN27" s="39" t="n"/>
      <c r="EO27" s="39" t="n"/>
      <c r="EP27" s="39" t="n"/>
      <c r="EQ27" s="39" t="n"/>
      <c r="ER27" s="39" t="n"/>
      <c r="ES27" s="39" t="n"/>
      <c r="ET27" s="39" t="n"/>
      <c r="EU27" s="39" t="n"/>
      <c r="EV27" s="39" t="n"/>
      <c r="EW27" s="39" t="n"/>
      <c r="EX27" s="39" t="n"/>
      <c r="EY27" s="39" t="n"/>
      <c r="EZ27" s="39" t="n"/>
      <c r="FA27" s="39" t="n"/>
      <c r="FB27" s="39" t="n"/>
      <c r="FC27" s="39" t="n"/>
      <c r="FD27" s="39" t="n"/>
      <c r="FE27" s="39" t="n"/>
      <c r="FF27" s="39" t="n"/>
      <c r="FG27" s="39" t="n"/>
      <c r="FH27" s="39" t="n"/>
      <c r="FI27" s="39" t="n"/>
      <c r="FJ27" s="39" t="n"/>
      <c r="FK27" s="39" t="n"/>
      <c r="FL27" s="39" t="n"/>
      <c r="FM27" s="39" t="n"/>
      <c r="FN27" s="39" t="n"/>
      <c r="FO27" s="39" t="n"/>
      <c r="FP27" s="39" t="n"/>
      <c r="FQ27" s="39" t="n"/>
      <c r="FR27" s="39" t="n"/>
      <c r="FS27" s="39" t="n"/>
      <c r="FT27" s="39" t="n"/>
      <c r="FU27" s="39" t="n"/>
      <c r="FV27" s="39" t="n"/>
      <c r="FW27" s="39" t="n"/>
      <c r="FX27" s="39" t="n"/>
      <c r="FY27" s="39" t="n"/>
      <c r="FZ27" s="39" t="n"/>
      <c r="GA27" s="39" t="n"/>
      <c r="GB27" s="39" t="n"/>
      <c r="GC27" s="39" t="n"/>
      <c r="GD27" s="39" t="n"/>
      <c r="GE27" s="39" t="n"/>
      <c r="GF27" s="39" t="n"/>
      <c r="GG27" s="39" t="n"/>
      <c r="GH27" s="39" t="n"/>
      <c r="GI27" s="39" t="n"/>
      <c r="GJ27" s="39" t="n"/>
      <c r="GK27" s="39" t="n"/>
      <c r="GL27" s="39" t="n"/>
      <c r="GM27" s="39" t="n"/>
      <c r="GN27" s="39" t="n"/>
      <c r="GO27" s="39" t="n"/>
      <c r="GP27" s="39" t="n"/>
    </row>
    <row r="28" customFormat="1" s="7">
      <c r="B28" s="2" t="n"/>
      <c r="C28" s="4" t="n"/>
      <c r="D28" s="4" t="n"/>
      <c r="E28" s="4" t="n"/>
      <c r="F28" s="4" t="n"/>
      <c r="G28" s="4" t="n"/>
      <c r="H28" s="4" t="n"/>
      <c r="I28" s="6">
        <f>IF(OR(C28=" ",OR(H28="",H28=0)),"",H28/C28)</f>
        <v/>
      </c>
      <c r="J28" s="12" t="n"/>
      <c r="K28" s="6">
        <f>IF(OR(C28=" ",OR(J28="",J28=0)),"",J28/C28)</f>
        <v/>
      </c>
      <c r="L28" s="12" t="n"/>
      <c r="M28" s="6">
        <f>IF(OR(C28=" ",OR(L28="",L28=0)),"",L28/C28)</f>
        <v/>
      </c>
      <c r="N28" s="11" t="n"/>
      <c r="O28" s="6">
        <f>IF(OR(C28=" ",OR(N28="",N28=0)),"",N28/C28)</f>
        <v/>
      </c>
      <c r="P28" s="6">
        <f>IF(OR(H28=0,H28=""),"",J28/H28)</f>
        <v/>
      </c>
      <c r="Q28" s="6">
        <f>IF(OR(H28=0,H28=""),"",SUM(D28:E28)/H28)</f>
        <v/>
      </c>
      <c r="R28" s="6">
        <f>IF(Q28="","",1-Q28)</f>
        <v/>
      </c>
      <c r="S28" s="6">
        <f>IF(OR(I28="",I28=0),"",I28)</f>
        <v/>
      </c>
      <c r="T28" s="13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  <c r="CU28" s="39" t="n"/>
      <c r="CV28" s="39" t="n"/>
      <c r="CW28" s="39" t="n"/>
      <c r="CX28" s="39" t="n"/>
      <c r="CY28" s="39" t="n"/>
      <c r="CZ28" s="39" t="n"/>
      <c r="DA28" s="39" t="n"/>
      <c r="DB28" s="39" t="n"/>
      <c r="DC28" s="39" t="n"/>
      <c r="DD28" s="39" t="n"/>
      <c r="DE28" s="39" t="n"/>
      <c r="DF28" s="39" t="n"/>
      <c r="DG28" s="39" t="n"/>
      <c r="DH28" s="39" t="n"/>
      <c r="DI28" s="39" t="n"/>
      <c r="DJ28" s="39" t="n"/>
      <c r="DK28" s="39" t="n"/>
      <c r="DL28" s="39" t="n"/>
      <c r="DM28" s="39" t="n"/>
      <c r="DN28" s="39" t="n"/>
      <c r="DO28" s="39" t="n"/>
      <c r="DP28" s="39" t="n"/>
      <c r="DQ28" s="39" t="n"/>
      <c r="DR28" s="39" t="n"/>
      <c r="DS28" s="39" t="n"/>
      <c r="DT28" s="39" t="n"/>
      <c r="DU28" s="39" t="n"/>
      <c r="DV28" s="39" t="n"/>
      <c r="DW28" s="39" t="n"/>
      <c r="DX28" s="39" t="n"/>
      <c r="DY28" s="39" t="n"/>
      <c r="DZ28" s="39" t="n"/>
      <c r="EA28" s="39" t="n"/>
      <c r="EB28" s="39" t="n"/>
      <c r="EC28" s="39" t="n"/>
      <c r="ED28" s="39" t="n"/>
      <c r="EE28" s="39" t="n"/>
      <c r="EF28" s="39" t="n"/>
      <c r="EG28" s="39" t="n"/>
      <c r="EH28" s="39" t="n"/>
      <c r="EI28" s="39" t="n"/>
      <c r="EJ28" s="39" t="n"/>
      <c r="EK28" s="39" t="n"/>
      <c r="EL28" s="39" t="n"/>
      <c r="EM28" s="39" t="n"/>
      <c r="EN28" s="39" t="n"/>
      <c r="EO28" s="39" t="n"/>
      <c r="EP28" s="39" t="n"/>
      <c r="EQ28" s="39" t="n"/>
      <c r="ER28" s="39" t="n"/>
      <c r="ES28" s="39" t="n"/>
      <c r="ET28" s="39" t="n"/>
      <c r="EU28" s="39" t="n"/>
      <c r="EV28" s="39" t="n"/>
      <c r="EW28" s="39" t="n"/>
      <c r="EX28" s="39" t="n"/>
      <c r="EY28" s="39" t="n"/>
      <c r="EZ28" s="39" t="n"/>
      <c r="FA28" s="39" t="n"/>
      <c r="FB28" s="39" t="n"/>
      <c r="FC28" s="39" t="n"/>
      <c r="FD28" s="39" t="n"/>
      <c r="FE28" s="39" t="n"/>
      <c r="FF28" s="39" t="n"/>
      <c r="FG28" s="39" t="n"/>
      <c r="FH28" s="39" t="n"/>
      <c r="FI28" s="39" t="n"/>
      <c r="FJ28" s="39" t="n"/>
      <c r="FK28" s="39" t="n"/>
      <c r="FL28" s="39" t="n"/>
      <c r="FM28" s="39" t="n"/>
      <c r="FN28" s="39" t="n"/>
      <c r="FO28" s="39" t="n"/>
      <c r="FP28" s="39" t="n"/>
      <c r="FQ28" s="39" t="n"/>
      <c r="FR28" s="39" t="n"/>
      <c r="FS28" s="39" t="n"/>
      <c r="FT28" s="39" t="n"/>
      <c r="FU28" s="39" t="n"/>
      <c r="FV28" s="39" t="n"/>
      <c r="FW28" s="39" t="n"/>
      <c r="FX28" s="39" t="n"/>
      <c r="FY28" s="39" t="n"/>
      <c r="FZ28" s="39" t="n"/>
      <c r="GA28" s="39" t="n"/>
      <c r="GB28" s="39" t="n"/>
      <c r="GC28" s="39" t="n"/>
      <c r="GD28" s="39" t="n"/>
      <c r="GE28" s="39" t="n"/>
      <c r="GF28" s="39" t="n"/>
      <c r="GG28" s="39" t="n"/>
      <c r="GH28" s="39" t="n"/>
      <c r="GI28" s="39" t="n"/>
      <c r="GJ28" s="39" t="n"/>
      <c r="GK28" s="39" t="n"/>
      <c r="GL28" s="39" t="n"/>
      <c r="GM28" s="39" t="n"/>
      <c r="GN28" s="39" t="n"/>
      <c r="GO28" s="39" t="n"/>
      <c r="GP28" s="39" t="n"/>
    </row>
    <row r="29" ht="14.4" customHeight="1" thickBot="1">
      <c r="B29" s="14" t="inlineStr">
        <is>
          <t>Total</t>
        </is>
      </c>
      <c r="C29" s="15">
        <f>IF(OR(C26=0,C26=""),"",SUM(C26:C28))</f>
        <v/>
      </c>
      <c r="D29" s="15">
        <f>IF(OR(D26=0,D26=""),"",SUM(D26:D28))</f>
        <v/>
      </c>
      <c r="E29" s="15">
        <f>IF(OR(E26=0,E26=""),"",SUM(E26:E28))</f>
        <v/>
      </c>
      <c r="F29" s="15">
        <f>IF(OR(F26=0,F26=""),"",SUM(F26:F28))</f>
        <v/>
      </c>
      <c r="G29" s="15">
        <f>IF(OR(G26=0,G26=""),"",SUM(G26:G28))</f>
        <v/>
      </c>
      <c r="H29" s="15">
        <f>IF(OR(H26=0,H26=""),"",SUM(H26:H28))</f>
        <v/>
      </c>
      <c r="I29" s="1">
        <f>IF(OR(H29=0,H29=""),"",AVERAGE(I26:I28))</f>
        <v/>
      </c>
      <c r="J29" s="15">
        <f>IF(OR(J26=0,J26=""),"",SUM(J26:J28))</f>
        <v/>
      </c>
      <c r="K29" s="1">
        <f>IF(OR(J29=0,J29=""),"",AVERAGE(K26:K28))</f>
        <v/>
      </c>
      <c r="L29" s="15">
        <f>IF(OR(L26=0,L26=""),"",SUM(L26:L28))</f>
        <v/>
      </c>
      <c r="M29" s="1">
        <f>IF(OR(L29=0,L29=""),"",AVERAGE(M26:M28))</f>
        <v/>
      </c>
      <c r="N29" s="15">
        <f>IF(OR(N26=0,N26=""),"",SUM(N26:N28))</f>
        <v/>
      </c>
      <c r="O29" s="1">
        <f>IF(OR(N29=0,N29=""),"",AVERAGE(O26:O28))</f>
        <v/>
      </c>
      <c r="P29" s="1">
        <f>IF(OR(P26=""),"",AVERAGE(P26:P28))</f>
        <v/>
      </c>
      <c r="Q29" s="1">
        <f>IF(OR(Q26=""),"",AVERAGE(Q26:Q28))</f>
        <v/>
      </c>
      <c r="R29" s="1">
        <f>IF(OR(R26=0,R26=""),"",AVERAGE(R26:R28))</f>
        <v/>
      </c>
      <c r="S29" s="1">
        <f>IF(OR(S26=0,S26=""),"",AVERAGE(S26:S28))</f>
        <v/>
      </c>
      <c r="T29" s="25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</row>
    <row r="30">
      <c r="B30" s="34" t="n"/>
      <c r="C30" s="35" t="n"/>
      <c r="D30" s="32" t="n"/>
      <c r="E30" s="32" t="n"/>
      <c r="F30" s="35" t="n"/>
      <c r="G30" s="32" t="n"/>
      <c r="H30" s="32" t="n"/>
      <c r="I30" s="35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3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0" t="n"/>
      <c r="AX30" s="30" t="n"/>
      <c r="AY30" s="30" t="n"/>
      <c r="AZ30" s="30" t="n"/>
      <c r="BA30" s="30" t="n"/>
      <c r="BB30" s="30" t="n"/>
      <c r="BC30" s="30" t="n"/>
      <c r="BD30" s="30" t="n"/>
      <c r="BE30" s="30" t="n"/>
      <c r="BF30" s="30" t="n"/>
      <c r="BG30" s="30" t="n"/>
      <c r="BH30" s="30" t="n"/>
      <c r="BI30" s="30" t="n"/>
      <c r="BJ30" s="30" t="n"/>
      <c r="BK30" s="30" t="n"/>
      <c r="BL30" s="30" t="n"/>
      <c r="BM30" s="30" t="n"/>
      <c r="BN30" s="30" t="n"/>
      <c r="BO30" s="30" t="n"/>
      <c r="BP30" s="30" t="n"/>
      <c r="BQ30" s="30" t="n"/>
      <c r="BR30" s="30" t="n"/>
      <c r="BS30" s="30" t="n"/>
      <c r="BT30" s="30" t="n"/>
      <c r="BU30" s="30" t="n"/>
      <c r="BV30" s="30" t="n"/>
      <c r="BW30" s="30" t="n"/>
      <c r="BX30" s="30" t="n"/>
      <c r="BY30" s="30" t="n"/>
      <c r="BZ30" s="30" t="n"/>
      <c r="CA30" s="30" t="n"/>
      <c r="CB30" s="30" t="n"/>
      <c r="CC30" s="30" t="n"/>
      <c r="CD30" s="30" t="n"/>
      <c r="CE30" s="30" t="n"/>
      <c r="CF30" s="30" t="n"/>
      <c r="CG30" s="30" t="n"/>
      <c r="CH30" s="30" t="n"/>
      <c r="CI30" s="30" t="n"/>
      <c r="CJ30" s="30" t="n"/>
      <c r="CK30" s="30" t="n"/>
      <c r="CL30" s="30" t="n"/>
      <c r="CM30" s="30" t="n"/>
      <c r="CN30" s="30" t="n"/>
      <c r="CO30" s="30" t="n"/>
      <c r="CP30" s="30" t="n"/>
      <c r="CQ30" s="30" t="n"/>
      <c r="CR30" s="30" t="n"/>
      <c r="CS30" s="30" t="n"/>
      <c r="CT30" s="30" t="n"/>
      <c r="CU30" s="30" t="n"/>
      <c r="CV30" s="30" t="n"/>
      <c r="CW30" s="30" t="n"/>
      <c r="CX30" s="30" t="n"/>
      <c r="CY30" s="30" t="n"/>
      <c r="CZ30" s="30" t="n"/>
      <c r="DA30" s="30" t="n"/>
      <c r="DB30" s="30" t="n"/>
      <c r="DC30" s="30" t="n"/>
      <c r="DD30" s="30" t="n"/>
      <c r="DE30" s="30" t="n"/>
      <c r="DF30" s="30" t="n"/>
      <c r="DG30" s="30" t="n"/>
      <c r="DH30" s="30" t="n"/>
      <c r="DI30" s="30" t="n"/>
      <c r="DJ30" s="30" t="n"/>
      <c r="DK30" s="30" t="n"/>
      <c r="DL30" s="30" t="n"/>
      <c r="DM30" s="30" t="n"/>
      <c r="DN30" s="30" t="n"/>
      <c r="DO30" s="30" t="n"/>
      <c r="DP30" s="30" t="n"/>
      <c r="DQ30" s="30" t="n"/>
      <c r="DR30" s="30" t="n"/>
      <c r="DS30" s="30" t="n"/>
      <c r="DT30" s="30" t="n"/>
      <c r="DU30" s="30" t="n"/>
      <c r="DV30" s="30" t="n"/>
      <c r="DW30" s="30" t="n"/>
      <c r="DX30" s="30" t="n"/>
      <c r="DY30" s="30" t="n"/>
      <c r="DZ30" s="30" t="n"/>
      <c r="EA30" s="30" t="n"/>
      <c r="EB30" s="30" t="n"/>
      <c r="EC30" s="30" t="n"/>
      <c r="ED30" s="30" t="n"/>
      <c r="EE30" s="30" t="n"/>
      <c r="EF30" s="30" t="n"/>
      <c r="EG30" s="30" t="n"/>
      <c r="EH30" s="30" t="n"/>
      <c r="EI30" s="30" t="n"/>
      <c r="EJ30" s="30" t="n"/>
      <c r="EK30" s="30" t="n"/>
      <c r="EL30" s="30" t="n"/>
      <c r="EM30" s="30" t="n"/>
      <c r="EN30" s="30" t="n"/>
      <c r="EO30" s="30" t="n"/>
      <c r="EP30" s="30" t="n"/>
      <c r="EQ30" s="30" t="n"/>
      <c r="ER30" s="30" t="n"/>
      <c r="ES30" s="30" t="n"/>
      <c r="ET30" s="30" t="n"/>
      <c r="EU30" s="30" t="n"/>
      <c r="EV30" s="30" t="n"/>
      <c r="EW30" s="30" t="n"/>
      <c r="EX30" s="30" t="n"/>
      <c r="EY30" s="30" t="n"/>
      <c r="EZ30" s="30" t="n"/>
      <c r="FA30" s="30" t="n"/>
      <c r="FB30" s="30" t="n"/>
      <c r="FC30" s="30" t="n"/>
      <c r="FD30" s="30" t="n"/>
      <c r="FE30" s="30" t="n"/>
      <c r="FF30" s="30" t="n"/>
      <c r="FG30" s="30" t="n"/>
      <c r="FH30" s="30" t="n"/>
      <c r="FI30" s="30" t="n"/>
      <c r="FJ30" s="30" t="n"/>
      <c r="FK30" s="30" t="n"/>
      <c r="FL30" s="30" t="n"/>
      <c r="FM30" s="30" t="n"/>
      <c r="FN30" s="30" t="n"/>
      <c r="FO30" s="30" t="n"/>
      <c r="FP30" s="30" t="n"/>
      <c r="FQ30" s="30" t="n"/>
      <c r="FR30" s="30" t="n"/>
      <c r="FS30" s="30" t="n"/>
      <c r="FT30" s="30" t="n"/>
      <c r="FU30" s="30" t="n"/>
      <c r="FV30" s="30" t="n"/>
      <c r="FW30" s="30" t="n"/>
      <c r="FX30" s="30" t="n"/>
      <c r="FY30" s="30" t="n"/>
      <c r="FZ30" s="30" t="n"/>
      <c r="GA30" s="30" t="n"/>
      <c r="GB30" s="30" t="n"/>
      <c r="GC30" s="30" t="n"/>
      <c r="GD30" s="30" t="n"/>
      <c r="GE30" s="30" t="n"/>
      <c r="GF30" s="30" t="n"/>
      <c r="GG30" s="30" t="n"/>
      <c r="GH30" s="30" t="n"/>
      <c r="GI30" s="30" t="n"/>
      <c r="GJ30" s="30" t="n"/>
      <c r="GK30" s="30" t="n"/>
      <c r="GL30" s="30" t="n"/>
      <c r="GM30" s="30" t="n"/>
      <c r="GN30" s="30" t="n"/>
      <c r="GO30" s="30" t="n"/>
      <c r="GP30" s="30" t="n"/>
    </row>
    <row r="31" ht="13.8" customHeight="1" thickBot="1">
      <c r="B31" s="36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7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</row>
    <row r="32" ht="13.8" customHeight="1" thickBot="1">
      <c r="B32" s="41" t="inlineStr">
        <is>
          <t>Análisis de Resultados IT IV</t>
        </is>
      </c>
      <c r="C32" s="42" t="n"/>
      <c r="D32" s="43" t="n"/>
      <c r="E32" s="43" t="n"/>
      <c r="F32" s="42" t="n"/>
      <c r="G32" s="43" t="n"/>
      <c r="H32" s="43" t="n"/>
      <c r="I32" s="42" t="n"/>
      <c r="J32" s="43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5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30" t="n"/>
      <c r="BB32" s="30" t="n"/>
      <c r="BC32" s="30" t="n"/>
      <c r="BD32" s="30" t="n"/>
      <c r="BE32" s="30" t="n"/>
      <c r="BF32" s="30" t="n"/>
      <c r="BG32" s="30" t="n"/>
      <c r="BH32" s="30" t="n"/>
      <c r="BI32" s="30" t="n"/>
      <c r="BJ32" s="30" t="n"/>
      <c r="BK32" s="30" t="n"/>
      <c r="BL32" s="30" t="n"/>
      <c r="BM32" s="30" t="n"/>
      <c r="BN32" s="30" t="n"/>
      <c r="BO32" s="30" t="n"/>
      <c r="BP32" s="30" t="n"/>
      <c r="BQ32" s="30" t="n"/>
      <c r="BR32" s="30" t="n"/>
      <c r="BS32" s="30" t="n"/>
      <c r="BT32" s="30" t="n"/>
      <c r="BU32" s="30" t="n"/>
      <c r="BV32" s="30" t="n"/>
      <c r="BW32" s="30" t="n"/>
      <c r="BX32" s="30" t="n"/>
      <c r="BY32" s="30" t="n"/>
      <c r="BZ32" s="30" t="n"/>
      <c r="CA32" s="30" t="n"/>
      <c r="CB32" s="30" t="n"/>
      <c r="CC32" s="30" t="n"/>
      <c r="CD32" s="30" t="n"/>
      <c r="CE32" s="30" t="n"/>
      <c r="CF32" s="30" t="n"/>
      <c r="CG32" s="30" t="n"/>
      <c r="CH32" s="30" t="n"/>
      <c r="CI32" s="30" t="n"/>
      <c r="CJ32" s="30" t="n"/>
      <c r="CK32" s="30" t="n"/>
      <c r="CL32" s="30" t="n"/>
      <c r="CM32" s="30" t="n"/>
      <c r="CN32" s="30" t="n"/>
      <c r="CO32" s="30" t="n"/>
      <c r="CP32" s="30" t="n"/>
      <c r="CQ32" s="30" t="n"/>
      <c r="CR32" s="30" t="n"/>
      <c r="CS32" s="30" t="n"/>
      <c r="CT32" s="30" t="n"/>
      <c r="CU32" s="30" t="n"/>
      <c r="CV32" s="30" t="n"/>
      <c r="CW32" s="30" t="n"/>
      <c r="CX32" s="30" t="n"/>
      <c r="CY32" s="30" t="n"/>
      <c r="CZ32" s="30" t="n"/>
      <c r="DA32" s="30" t="n"/>
      <c r="DB32" s="30" t="n"/>
      <c r="DC32" s="30" t="n"/>
      <c r="DD32" s="30" t="n"/>
      <c r="DE32" s="30" t="n"/>
      <c r="DF32" s="30" t="n"/>
      <c r="DG32" s="30" t="n"/>
      <c r="DH32" s="30" t="n"/>
      <c r="DI32" s="30" t="n"/>
      <c r="DJ32" s="30" t="n"/>
      <c r="DK32" s="30" t="n"/>
      <c r="DL32" s="30" t="n"/>
      <c r="DM32" s="30" t="n"/>
      <c r="DN32" s="30" t="n"/>
      <c r="DO32" s="30" t="n"/>
      <c r="DP32" s="30" t="n"/>
      <c r="DQ32" s="30" t="n"/>
      <c r="DR32" s="30" t="n"/>
      <c r="DS32" s="30" t="n"/>
      <c r="DT32" s="30" t="n"/>
      <c r="DU32" s="30" t="n"/>
      <c r="DV32" s="30" t="n"/>
      <c r="DW32" s="30" t="n"/>
      <c r="DX32" s="30" t="n"/>
      <c r="DY32" s="30" t="n"/>
      <c r="DZ32" s="30" t="n"/>
      <c r="EA32" s="30" t="n"/>
      <c r="EB32" s="30" t="n"/>
      <c r="EC32" s="30" t="n"/>
      <c r="ED32" s="30" t="n"/>
      <c r="EE32" s="30" t="n"/>
      <c r="EF32" s="30" t="n"/>
      <c r="EG32" s="30" t="n"/>
      <c r="EH32" s="30" t="n"/>
      <c r="EI32" s="30" t="n"/>
      <c r="EJ32" s="30" t="n"/>
      <c r="EK32" s="30" t="n"/>
      <c r="EL32" s="30" t="n"/>
      <c r="EM32" s="30" t="n"/>
      <c r="EN32" s="30" t="n"/>
      <c r="EO32" s="30" t="n"/>
      <c r="EP32" s="30" t="n"/>
      <c r="EQ32" s="30" t="n"/>
      <c r="ER32" s="30" t="n"/>
      <c r="ES32" s="30" t="n"/>
      <c r="ET32" s="30" t="n"/>
      <c r="EU32" s="30" t="n"/>
      <c r="EV32" s="30" t="n"/>
      <c r="EW32" s="30" t="n"/>
      <c r="EX32" s="30" t="n"/>
      <c r="EY32" s="30" t="n"/>
      <c r="EZ32" s="30" t="n"/>
      <c r="FA32" s="30" t="n"/>
      <c r="FB32" s="30" t="n"/>
      <c r="FC32" s="30" t="n"/>
      <c r="FD32" s="30" t="n"/>
      <c r="FE32" s="30" t="n"/>
      <c r="FF32" s="30" t="n"/>
      <c r="FG32" s="30" t="n"/>
      <c r="FH32" s="30" t="n"/>
      <c r="FI32" s="30" t="n"/>
      <c r="FJ32" s="30" t="n"/>
      <c r="FK32" s="30" t="n"/>
      <c r="FL32" s="30" t="n"/>
      <c r="FM32" s="30" t="n"/>
      <c r="FN32" s="30" t="n"/>
      <c r="FO32" s="30" t="n"/>
      <c r="FP32" s="30" t="n"/>
      <c r="FQ32" s="30" t="n"/>
      <c r="FR32" s="30" t="n"/>
      <c r="FS32" s="30" t="n"/>
      <c r="FT32" s="30" t="n"/>
      <c r="FU32" s="30" t="n"/>
      <c r="FV32" s="30" t="n"/>
      <c r="FW32" s="30" t="n"/>
      <c r="FX32" s="30" t="n"/>
      <c r="FY32" s="30" t="n"/>
      <c r="FZ32" s="30" t="n"/>
      <c r="GA32" s="30" t="n"/>
      <c r="GB32" s="30" t="n"/>
      <c r="GC32" s="30" t="n"/>
      <c r="GD32" s="30" t="n"/>
      <c r="GE32" s="30" t="n"/>
      <c r="GF32" s="30" t="n"/>
      <c r="GG32" s="30" t="n"/>
      <c r="GH32" s="30" t="n"/>
      <c r="GI32" s="30" t="n"/>
      <c r="GJ32" s="30" t="n"/>
      <c r="GK32" s="30" t="n"/>
      <c r="GL32" s="30" t="n"/>
      <c r="GM32" s="30" t="n"/>
      <c r="GN32" s="30" t="n"/>
      <c r="GO32" s="30" t="n"/>
      <c r="GP32" s="30" t="n"/>
    </row>
    <row r="33" ht="13.5" customHeight="1" thickBot="1">
      <c r="B33" s="9" t="inlineStr">
        <is>
          <t>Funcionalidad o Requerimiento</t>
        </is>
      </c>
      <c r="C33" s="9" t="inlineStr">
        <is>
          <t>Nro. Reqs Prueba</t>
        </is>
      </c>
      <c r="D33" s="9" t="inlineStr">
        <is>
          <t>No Conformidades</t>
        </is>
      </c>
      <c r="E33" s="175" t="n"/>
      <c r="F33" s="176" t="n"/>
      <c r="G33" s="9" t="inlineStr">
        <is>
          <t>NC Anulados</t>
        </is>
      </c>
      <c r="H33" s="181" t="inlineStr">
        <is>
          <t>Resultados</t>
        </is>
      </c>
      <c r="I33" s="175" t="n"/>
      <c r="J33" s="175" t="n"/>
      <c r="K33" s="175" t="n"/>
      <c r="L33" s="175" t="n"/>
      <c r="M33" s="175" t="n"/>
      <c r="N33" s="175" t="n"/>
      <c r="O33" s="176" t="n"/>
      <c r="P33" s="9" t="inlineStr">
        <is>
          <t>Correctitud</t>
        </is>
      </c>
      <c r="Q33" s="9" t="inlineStr">
        <is>
          <t>Densidad NC</t>
        </is>
      </c>
      <c r="R33" s="9" t="inlineStr">
        <is>
          <t>Confiab.</t>
        </is>
      </c>
      <c r="S33" s="9" t="inlineStr">
        <is>
          <t>Cobertura</t>
        </is>
      </c>
      <c r="T33" s="9" t="inlineStr">
        <is>
          <t>Observaciones</t>
        </is>
      </c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</row>
    <row r="34" ht="13.8" customHeight="1" thickBot="1">
      <c r="B34" s="178" t="n"/>
      <c r="C34" s="178" t="n"/>
      <c r="D34" s="9" t="inlineStr">
        <is>
          <t>Bloqueante</t>
        </is>
      </c>
      <c r="E34" s="9" t="inlineStr">
        <is>
          <t>Funcional</t>
        </is>
      </c>
      <c r="F34" s="9" t="inlineStr">
        <is>
          <t>Presentación</t>
        </is>
      </c>
      <c r="G34" s="178" t="n"/>
      <c r="H34" s="181" t="inlineStr">
        <is>
          <t>Ejecutados</t>
        </is>
      </c>
      <c r="I34" s="176" t="n"/>
      <c r="J34" s="179" t="inlineStr">
        <is>
          <t>OK</t>
        </is>
      </c>
      <c r="K34" s="180" t="n"/>
      <c r="L34" s="182" t="inlineStr">
        <is>
          <t>NOK</t>
        </is>
      </c>
      <c r="M34" s="180" t="n"/>
      <c r="N34" s="181" t="inlineStr">
        <is>
          <t>PDTE</t>
        </is>
      </c>
      <c r="O34" s="176" t="n"/>
      <c r="P34" s="178" t="n"/>
      <c r="Q34" s="178" t="n"/>
      <c r="R34" s="178" t="n"/>
      <c r="S34" s="178" t="n"/>
      <c r="T34" s="178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30" t="n"/>
      <c r="AP34" s="30" t="n"/>
      <c r="AQ34" s="30" t="n"/>
      <c r="AR34" s="30" t="n"/>
      <c r="AS34" s="30" t="n"/>
      <c r="AT34" s="30" t="n"/>
      <c r="AU34" s="30" t="n"/>
      <c r="AV34" s="30" t="n"/>
      <c r="AW34" s="30" t="n"/>
      <c r="AX34" s="30" t="n"/>
      <c r="AY34" s="30" t="n"/>
      <c r="AZ34" s="30" t="n"/>
      <c r="BA34" s="30" t="n"/>
      <c r="BB34" s="30" t="n"/>
      <c r="BC34" s="30" t="n"/>
      <c r="BD34" s="30" t="n"/>
      <c r="BE34" s="30" t="n"/>
      <c r="BF34" s="30" t="n"/>
      <c r="BG34" s="30" t="n"/>
      <c r="BH34" s="30" t="n"/>
      <c r="BI34" s="30" t="n"/>
      <c r="BJ34" s="30" t="n"/>
      <c r="BK34" s="30" t="n"/>
      <c r="BL34" s="30" t="n"/>
      <c r="BM34" s="30" t="n"/>
      <c r="BN34" s="30" t="n"/>
      <c r="BO34" s="30" t="n"/>
      <c r="BP34" s="30" t="n"/>
      <c r="BQ34" s="30" t="n"/>
      <c r="BR34" s="30" t="n"/>
      <c r="BS34" s="30" t="n"/>
      <c r="BT34" s="30" t="n"/>
      <c r="BU34" s="30" t="n"/>
      <c r="BV34" s="30" t="n"/>
      <c r="BW34" s="30" t="n"/>
      <c r="BX34" s="30" t="n"/>
      <c r="BY34" s="30" t="n"/>
      <c r="BZ34" s="30" t="n"/>
      <c r="CA34" s="30" t="n"/>
      <c r="CB34" s="30" t="n"/>
      <c r="CC34" s="30" t="n"/>
      <c r="CD34" s="30" t="n"/>
      <c r="CE34" s="30" t="n"/>
      <c r="CF34" s="30" t="n"/>
      <c r="CG34" s="30" t="n"/>
      <c r="CH34" s="30" t="n"/>
      <c r="CI34" s="30" t="n"/>
      <c r="CJ34" s="30" t="n"/>
      <c r="CK34" s="30" t="n"/>
      <c r="CL34" s="30" t="n"/>
      <c r="CM34" s="30" t="n"/>
      <c r="CN34" s="30" t="n"/>
      <c r="CO34" s="30" t="n"/>
      <c r="CP34" s="30" t="n"/>
      <c r="CQ34" s="30" t="n"/>
      <c r="CR34" s="30" t="n"/>
      <c r="CS34" s="30" t="n"/>
      <c r="CT34" s="30" t="n"/>
      <c r="CU34" s="30" t="n"/>
      <c r="CV34" s="30" t="n"/>
      <c r="CW34" s="30" t="n"/>
      <c r="CX34" s="30" t="n"/>
      <c r="CY34" s="30" t="n"/>
      <c r="CZ34" s="30" t="n"/>
      <c r="DA34" s="30" t="n"/>
      <c r="DB34" s="30" t="n"/>
      <c r="DC34" s="30" t="n"/>
      <c r="DD34" s="30" t="n"/>
      <c r="DE34" s="30" t="n"/>
      <c r="DF34" s="30" t="n"/>
      <c r="DG34" s="30" t="n"/>
      <c r="DH34" s="30" t="n"/>
      <c r="DI34" s="30" t="n"/>
      <c r="DJ34" s="30" t="n"/>
      <c r="DK34" s="30" t="n"/>
      <c r="DL34" s="30" t="n"/>
      <c r="DM34" s="30" t="n"/>
      <c r="DN34" s="30" t="n"/>
      <c r="DO34" s="30" t="n"/>
      <c r="DP34" s="30" t="n"/>
      <c r="DQ34" s="30" t="n"/>
      <c r="DR34" s="30" t="n"/>
      <c r="DS34" s="30" t="n"/>
      <c r="DT34" s="30" t="n"/>
      <c r="DU34" s="30" t="n"/>
      <c r="DV34" s="30" t="n"/>
      <c r="DW34" s="30" t="n"/>
      <c r="DX34" s="30" t="n"/>
      <c r="DY34" s="30" t="n"/>
      <c r="DZ34" s="30" t="n"/>
      <c r="EA34" s="30" t="n"/>
      <c r="EB34" s="30" t="n"/>
      <c r="EC34" s="30" t="n"/>
      <c r="ED34" s="30" t="n"/>
      <c r="EE34" s="30" t="n"/>
      <c r="EF34" s="30" t="n"/>
      <c r="EG34" s="30" t="n"/>
      <c r="EH34" s="30" t="n"/>
      <c r="EI34" s="30" t="n"/>
      <c r="EJ34" s="30" t="n"/>
      <c r="EK34" s="30" t="n"/>
      <c r="EL34" s="30" t="n"/>
      <c r="EM34" s="30" t="n"/>
      <c r="EN34" s="30" t="n"/>
      <c r="EO34" s="30" t="n"/>
      <c r="EP34" s="30" t="n"/>
      <c r="EQ34" s="30" t="n"/>
      <c r="ER34" s="30" t="n"/>
      <c r="ES34" s="30" t="n"/>
      <c r="ET34" s="30" t="n"/>
      <c r="EU34" s="30" t="n"/>
      <c r="EV34" s="30" t="n"/>
      <c r="EW34" s="30" t="n"/>
      <c r="EX34" s="30" t="n"/>
      <c r="EY34" s="30" t="n"/>
      <c r="EZ34" s="30" t="n"/>
      <c r="FA34" s="30" t="n"/>
      <c r="FB34" s="30" t="n"/>
      <c r="FC34" s="30" t="n"/>
      <c r="FD34" s="30" t="n"/>
      <c r="FE34" s="30" t="n"/>
      <c r="FF34" s="30" t="n"/>
      <c r="FG34" s="30" t="n"/>
      <c r="FH34" s="30" t="n"/>
      <c r="FI34" s="30" t="n"/>
      <c r="FJ34" s="30" t="n"/>
      <c r="FK34" s="30" t="n"/>
      <c r="FL34" s="30" t="n"/>
      <c r="FM34" s="30" t="n"/>
      <c r="FN34" s="30" t="n"/>
      <c r="FO34" s="30" t="n"/>
      <c r="FP34" s="30" t="n"/>
      <c r="FQ34" s="30" t="n"/>
      <c r="FR34" s="30" t="n"/>
      <c r="FS34" s="30" t="n"/>
      <c r="FT34" s="30" t="n"/>
      <c r="FU34" s="30" t="n"/>
      <c r="FV34" s="30" t="n"/>
      <c r="FW34" s="30" t="n"/>
      <c r="FX34" s="30" t="n"/>
      <c r="FY34" s="30" t="n"/>
      <c r="FZ34" s="30" t="n"/>
      <c r="GA34" s="30" t="n"/>
      <c r="GB34" s="30" t="n"/>
      <c r="GC34" s="30" t="n"/>
      <c r="GD34" s="30" t="n"/>
      <c r="GE34" s="30" t="n"/>
      <c r="GF34" s="30" t="n"/>
      <c r="GG34" s="30" t="n"/>
      <c r="GH34" s="30" t="n"/>
      <c r="GI34" s="30" t="n"/>
      <c r="GJ34" s="30" t="n"/>
      <c r="GK34" s="30" t="n"/>
      <c r="GL34" s="30" t="n"/>
      <c r="GM34" s="30" t="n"/>
      <c r="GN34" s="30" t="n"/>
      <c r="GO34" s="30" t="n"/>
      <c r="GP34" s="30" t="n"/>
    </row>
    <row r="35" customFormat="1" s="7">
      <c r="B35" s="22">
        <f>IF(#REF!=0,"",#REF!)</f>
        <v/>
      </c>
      <c r="C35" s="17">
        <f>IF(COUNTIF(#REF!,"OK")+COUNTIF(#REF!,"NOK")+COUNTIF(#REF!,"PDTE")+COUNTIF(#REF!,"N/A")=0,"",COUNTIF(#REF!,"OK")+COUNTIF(#REF!,"NOK")+COUNTIF(#REF!,"PDTE")+COUNTIF(#REF!,"N/A"))</f>
        <v/>
      </c>
      <c r="D35" s="10" t="n"/>
      <c r="E35" s="10" t="n"/>
      <c r="F35" s="10" t="n"/>
      <c r="G35" s="17">
        <f>IF(COUNTIF(#REF!,"N/A")=0,"",COUNTIF(#REF!,"N/A"))</f>
        <v/>
      </c>
      <c r="H35" s="17">
        <f>IF(COUNTIF(#REF!,"OK")+COUNTIF(#REF!,"NOK")=0,"",COUNTIF(#REF!,"OK")+COUNTIF(#REF!,"NOK"))</f>
        <v/>
      </c>
      <c r="I35" s="6">
        <f>IF(OR(C35=" ",OR(H35="",H35=0)),"",H35/C35)</f>
        <v/>
      </c>
      <c r="J35" s="23">
        <f>IF(COUNTIF(#REF!,"OK")=0,"",COUNTIF(#REF!,"OK"))</f>
        <v/>
      </c>
      <c r="K35" s="6">
        <f>IF(OR(C35=" ",OR(J35="",J35=0)),"",J35/C35)</f>
        <v/>
      </c>
      <c r="L35" s="23">
        <f>IF(COUNTIF(#REF!,"NOK")=0,"",COUNTIF(#REF!,"NOK"))</f>
        <v/>
      </c>
      <c r="M35" s="6">
        <f>IF(OR(C35=" ",OR(L35="",L35=0)),"",L35/C35)</f>
        <v/>
      </c>
      <c r="N35" s="23">
        <f>IF(COUNTIF(#REF!,"PDTE")=0,"",COUNTIF(#REF!,"PDTE"))</f>
        <v/>
      </c>
      <c r="O35" s="6">
        <f>IF(OR(C35=" ",OR(N35="",N35=0)),"",N35/C35)</f>
        <v/>
      </c>
      <c r="P35" s="6">
        <f>IF(OR(H35=0,H35=""),"",SUM(J35)/H35)</f>
        <v/>
      </c>
      <c r="Q35" s="6">
        <f>IF(OR(H35=0,H35=""),"",SUM(D35:F35)/H35)</f>
        <v/>
      </c>
      <c r="R35" s="6">
        <f>IF(Q35="","",1-Q35)</f>
        <v/>
      </c>
      <c r="S35" s="6">
        <f>IF(OR(I35="",I35=0),"",I35)</f>
        <v/>
      </c>
      <c r="T35" s="24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  <c r="CZ35" s="39" t="n"/>
      <c r="DA35" s="39" t="n"/>
      <c r="DB35" s="39" t="n"/>
      <c r="DC35" s="39" t="n"/>
      <c r="DD35" s="39" t="n"/>
      <c r="DE35" s="39" t="n"/>
      <c r="DF35" s="39" t="n"/>
      <c r="DG35" s="39" t="n"/>
      <c r="DH35" s="39" t="n"/>
      <c r="DI35" s="39" t="n"/>
      <c r="DJ35" s="39" t="n"/>
      <c r="DK35" s="39" t="n"/>
      <c r="DL35" s="39" t="n"/>
      <c r="DM35" s="39" t="n"/>
      <c r="DN35" s="39" t="n"/>
      <c r="DO35" s="39" t="n"/>
      <c r="DP35" s="39" t="n"/>
      <c r="DQ35" s="39" t="n"/>
      <c r="DR35" s="39" t="n"/>
      <c r="DS35" s="39" t="n"/>
      <c r="DT35" s="39" t="n"/>
      <c r="DU35" s="39" t="n"/>
      <c r="DV35" s="39" t="n"/>
      <c r="DW35" s="39" t="n"/>
      <c r="DX35" s="39" t="n"/>
      <c r="DY35" s="39" t="n"/>
      <c r="DZ35" s="39" t="n"/>
      <c r="EA35" s="39" t="n"/>
      <c r="EB35" s="39" t="n"/>
      <c r="EC35" s="39" t="n"/>
      <c r="ED35" s="39" t="n"/>
      <c r="EE35" s="39" t="n"/>
      <c r="EF35" s="39" t="n"/>
      <c r="EG35" s="39" t="n"/>
      <c r="EH35" s="39" t="n"/>
      <c r="EI35" s="39" t="n"/>
      <c r="EJ35" s="39" t="n"/>
      <c r="EK35" s="39" t="n"/>
      <c r="EL35" s="39" t="n"/>
      <c r="EM35" s="39" t="n"/>
      <c r="EN35" s="39" t="n"/>
      <c r="EO35" s="39" t="n"/>
      <c r="EP35" s="39" t="n"/>
      <c r="EQ35" s="39" t="n"/>
      <c r="ER35" s="39" t="n"/>
      <c r="ES35" s="39" t="n"/>
      <c r="ET35" s="39" t="n"/>
      <c r="EU35" s="39" t="n"/>
      <c r="EV35" s="39" t="n"/>
      <c r="EW35" s="39" t="n"/>
      <c r="EX35" s="39" t="n"/>
      <c r="EY35" s="39" t="n"/>
      <c r="EZ35" s="39" t="n"/>
      <c r="FA35" s="39" t="n"/>
      <c r="FB35" s="39" t="n"/>
      <c r="FC35" s="39" t="n"/>
      <c r="FD35" s="39" t="n"/>
      <c r="FE35" s="39" t="n"/>
      <c r="FF35" s="39" t="n"/>
      <c r="FG35" s="39" t="n"/>
      <c r="FH35" s="39" t="n"/>
      <c r="FI35" s="39" t="n"/>
      <c r="FJ35" s="39" t="n"/>
      <c r="FK35" s="39" t="n"/>
      <c r="FL35" s="39" t="n"/>
      <c r="FM35" s="39" t="n"/>
      <c r="FN35" s="39" t="n"/>
      <c r="FO35" s="39" t="n"/>
      <c r="FP35" s="39" t="n"/>
      <c r="FQ35" s="39" t="n"/>
      <c r="FR35" s="39" t="n"/>
      <c r="FS35" s="39" t="n"/>
      <c r="FT35" s="39" t="n"/>
      <c r="FU35" s="39" t="n"/>
      <c r="FV35" s="39" t="n"/>
      <c r="FW35" s="39" t="n"/>
      <c r="FX35" s="39" t="n"/>
      <c r="FY35" s="39" t="n"/>
      <c r="FZ35" s="39" t="n"/>
      <c r="GA35" s="39" t="n"/>
      <c r="GB35" s="39" t="n"/>
      <c r="GC35" s="39" t="n"/>
      <c r="GD35" s="39" t="n"/>
      <c r="GE35" s="39" t="n"/>
      <c r="GF35" s="39" t="n"/>
      <c r="GG35" s="39" t="n"/>
      <c r="GH35" s="39" t="n"/>
      <c r="GI35" s="39" t="n"/>
      <c r="GJ35" s="39" t="n"/>
      <c r="GK35" s="39" t="n"/>
      <c r="GL35" s="39" t="n"/>
      <c r="GM35" s="39" t="n"/>
      <c r="GN35" s="39" t="n"/>
      <c r="GO35" s="39" t="n"/>
      <c r="GP35" s="39" t="n"/>
    </row>
    <row r="36" customFormat="1" s="7">
      <c r="B36" s="2" t="n"/>
      <c r="C36" s="4" t="n"/>
      <c r="D36" s="4" t="n"/>
      <c r="E36" s="4" t="n"/>
      <c r="F36" s="4" t="n"/>
      <c r="G36" s="4" t="n"/>
      <c r="H36" s="4" t="n"/>
      <c r="I36" s="6">
        <f>IF(OR(C36=" ",OR(H36="",H36=0)),"",H36/C36)</f>
        <v/>
      </c>
      <c r="J36" s="12" t="n"/>
      <c r="K36" s="6">
        <f>IF(OR(C36=" ",OR(J36="",J36=0)),"",J36/C36)</f>
        <v/>
      </c>
      <c r="L36" s="12" t="n"/>
      <c r="M36" s="6">
        <f>IF(OR(C36=" ",OR(L36="",L36=0)),"",L36/C36)</f>
        <v/>
      </c>
      <c r="N36" s="11" t="n"/>
      <c r="O36" s="6">
        <f>IF(OR(C36=" ",OR(N36="",N36=0)),"",N36/C36)</f>
        <v/>
      </c>
      <c r="P36" s="6">
        <f>IF(OR(H36=0,H36=""),"",J36/H36)</f>
        <v/>
      </c>
      <c r="Q36" s="6">
        <f>IF(OR(H36=0,H36=""),"",SUM(D36:E36)/H36)</f>
        <v/>
      </c>
      <c r="R36" s="6">
        <f>IF(Q36="","",1-Q36)</f>
        <v/>
      </c>
      <c r="S36" s="6">
        <f>IF(OR(I36="",I36=0),"",I36)</f>
        <v/>
      </c>
      <c r="T36" s="13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  <c r="CZ36" s="39" t="n"/>
      <c r="DA36" s="39" t="n"/>
      <c r="DB36" s="39" t="n"/>
      <c r="DC36" s="39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39" t="n"/>
      <c r="EI36" s="39" t="n"/>
      <c r="EJ36" s="39" t="n"/>
      <c r="EK36" s="39" t="n"/>
      <c r="EL36" s="39" t="n"/>
      <c r="EM36" s="39" t="n"/>
      <c r="EN36" s="39" t="n"/>
      <c r="EO36" s="39" t="n"/>
      <c r="EP36" s="39" t="n"/>
      <c r="EQ36" s="39" t="n"/>
      <c r="ER36" s="39" t="n"/>
      <c r="ES36" s="39" t="n"/>
      <c r="ET36" s="39" t="n"/>
      <c r="EU36" s="39" t="n"/>
      <c r="EV36" s="39" t="n"/>
      <c r="EW36" s="39" t="n"/>
      <c r="EX36" s="39" t="n"/>
      <c r="EY36" s="39" t="n"/>
      <c r="EZ36" s="39" t="n"/>
      <c r="FA36" s="39" t="n"/>
      <c r="FB36" s="39" t="n"/>
      <c r="FC36" s="39" t="n"/>
      <c r="FD36" s="39" t="n"/>
      <c r="FE36" s="39" t="n"/>
      <c r="FF36" s="39" t="n"/>
      <c r="FG36" s="39" t="n"/>
      <c r="FH36" s="39" t="n"/>
      <c r="FI36" s="39" t="n"/>
      <c r="FJ36" s="39" t="n"/>
      <c r="FK36" s="39" t="n"/>
      <c r="FL36" s="39" t="n"/>
      <c r="FM36" s="39" t="n"/>
      <c r="FN36" s="39" t="n"/>
      <c r="FO36" s="39" t="n"/>
      <c r="FP36" s="39" t="n"/>
      <c r="FQ36" s="39" t="n"/>
      <c r="FR36" s="39" t="n"/>
      <c r="FS36" s="39" t="n"/>
      <c r="FT36" s="39" t="n"/>
      <c r="FU36" s="39" t="n"/>
      <c r="FV36" s="39" t="n"/>
      <c r="FW36" s="39" t="n"/>
      <c r="FX36" s="39" t="n"/>
      <c r="FY36" s="39" t="n"/>
      <c r="FZ36" s="39" t="n"/>
      <c r="GA36" s="39" t="n"/>
      <c r="GB36" s="39" t="n"/>
      <c r="GC36" s="39" t="n"/>
      <c r="GD36" s="39" t="n"/>
      <c r="GE36" s="39" t="n"/>
      <c r="GF36" s="39" t="n"/>
      <c r="GG36" s="39" t="n"/>
      <c r="GH36" s="39" t="n"/>
      <c r="GI36" s="39" t="n"/>
      <c r="GJ36" s="39" t="n"/>
      <c r="GK36" s="39" t="n"/>
      <c r="GL36" s="39" t="n"/>
      <c r="GM36" s="39" t="n"/>
      <c r="GN36" s="39" t="n"/>
      <c r="GO36" s="39" t="n"/>
      <c r="GP36" s="39" t="n"/>
    </row>
    <row r="37" customFormat="1" s="7">
      <c r="B37" s="2" t="n"/>
      <c r="C37" s="4" t="n"/>
      <c r="D37" s="4" t="n"/>
      <c r="E37" s="4" t="n"/>
      <c r="F37" s="4" t="n"/>
      <c r="G37" s="4" t="n"/>
      <c r="H37" s="4" t="n"/>
      <c r="I37" s="6">
        <f>IF(OR(C37=" ",OR(H37="",H37=0)),"",H37/C37)</f>
        <v/>
      </c>
      <c r="J37" s="12" t="n"/>
      <c r="K37" s="6">
        <f>IF(OR(C37=" ",OR(J37="",J37=0)),"",J37/C37)</f>
        <v/>
      </c>
      <c r="L37" s="12" t="n"/>
      <c r="M37" s="6">
        <f>IF(OR(C37=" ",OR(L37="",L37=0)),"",L37/C37)</f>
        <v/>
      </c>
      <c r="N37" s="11" t="n"/>
      <c r="O37" s="6">
        <f>IF(OR(C37=" ",OR(N37="",N37=0)),"",N37/C37)</f>
        <v/>
      </c>
      <c r="P37" s="6">
        <f>IF(OR(H37=0,H37=""),"",J37/H37)</f>
        <v/>
      </c>
      <c r="Q37" s="6">
        <f>IF(OR(H37=0,H37=""),"",SUM(D37:E37)/H37)</f>
        <v/>
      </c>
      <c r="R37" s="6">
        <f>IF(Q37="","",1-Q37)</f>
        <v/>
      </c>
      <c r="S37" s="6">
        <f>IF(OR(I37="",I37=0),"",I37)</f>
        <v/>
      </c>
      <c r="T37" s="13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  <c r="CZ37" s="39" t="n"/>
      <c r="DA37" s="39" t="n"/>
      <c r="DB37" s="39" t="n"/>
      <c r="DC37" s="39" t="n"/>
      <c r="DD37" s="39" t="n"/>
      <c r="DE37" s="39" t="n"/>
      <c r="DF37" s="39" t="n"/>
      <c r="DG37" s="39" t="n"/>
      <c r="DH37" s="39" t="n"/>
      <c r="DI37" s="39" t="n"/>
      <c r="DJ37" s="39" t="n"/>
      <c r="DK37" s="39" t="n"/>
      <c r="DL37" s="39" t="n"/>
      <c r="DM37" s="39" t="n"/>
      <c r="DN37" s="39" t="n"/>
      <c r="DO37" s="39" t="n"/>
      <c r="DP37" s="39" t="n"/>
      <c r="DQ37" s="39" t="n"/>
      <c r="DR37" s="39" t="n"/>
      <c r="DS37" s="39" t="n"/>
      <c r="DT37" s="39" t="n"/>
      <c r="DU37" s="39" t="n"/>
      <c r="DV37" s="39" t="n"/>
      <c r="DW37" s="39" t="n"/>
      <c r="DX37" s="39" t="n"/>
      <c r="DY37" s="39" t="n"/>
      <c r="DZ37" s="39" t="n"/>
      <c r="EA37" s="39" t="n"/>
      <c r="EB37" s="39" t="n"/>
      <c r="EC37" s="39" t="n"/>
      <c r="ED37" s="39" t="n"/>
      <c r="EE37" s="39" t="n"/>
      <c r="EF37" s="39" t="n"/>
      <c r="EG37" s="39" t="n"/>
      <c r="EH37" s="39" t="n"/>
      <c r="EI37" s="39" t="n"/>
      <c r="EJ37" s="39" t="n"/>
      <c r="EK37" s="39" t="n"/>
      <c r="EL37" s="39" t="n"/>
      <c r="EM37" s="39" t="n"/>
      <c r="EN37" s="39" t="n"/>
      <c r="EO37" s="39" t="n"/>
      <c r="EP37" s="39" t="n"/>
      <c r="EQ37" s="39" t="n"/>
      <c r="ER37" s="39" t="n"/>
      <c r="ES37" s="39" t="n"/>
      <c r="ET37" s="39" t="n"/>
      <c r="EU37" s="39" t="n"/>
      <c r="EV37" s="39" t="n"/>
      <c r="EW37" s="39" t="n"/>
      <c r="EX37" s="39" t="n"/>
      <c r="EY37" s="39" t="n"/>
      <c r="EZ37" s="39" t="n"/>
      <c r="FA37" s="39" t="n"/>
      <c r="FB37" s="39" t="n"/>
      <c r="FC37" s="39" t="n"/>
      <c r="FD37" s="39" t="n"/>
      <c r="FE37" s="39" t="n"/>
      <c r="FF37" s="39" t="n"/>
      <c r="FG37" s="39" t="n"/>
      <c r="FH37" s="39" t="n"/>
      <c r="FI37" s="39" t="n"/>
      <c r="FJ37" s="39" t="n"/>
      <c r="FK37" s="39" t="n"/>
      <c r="FL37" s="39" t="n"/>
      <c r="FM37" s="39" t="n"/>
      <c r="FN37" s="39" t="n"/>
      <c r="FO37" s="39" t="n"/>
      <c r="FP37" s="39" t="n"/>
      <c r="FQ37" s="39" t="n"/>
      <c r="FR37" s="39" t="n"/>
      <c r="FS37" s="39" t="n"/>
      <c r="FT37" s="39" t="n"/>
      <c r="FU37" s="39" t="n"/>
      <c r="FV37" s="39" t="n"/>
      <c r="FW37" s="39" t="n"/>
      <c r="FX37" s="39" t="n"/>
      <c r="FY37" s="39" t="n"/>
      <c r="FZ37" s="39" t="n"/>
      <c r="GA37" s="39" t="n"/>
      <c r="GB37" s="39" t="n"/>
      <c r="GC37" s="39" t="n"/>
      <c r="GD37" s="39" t="n"/>
      <c r="GE37" s="39" t="n"/>
      <c r="GF37" s="39" t="n"/>
      <c r="GG37" s="39" t="n"/>
      <c r="GH37" s="39" t="n"/>
      <c r="GI37" s="39" t="n"/>
      <c r="GJ37" s="39" t="n"/>
      <c r="GK37" s="39" t="n"/>
      <c r="GL37" s="39" t="n"/>
      <c r="GM37" s="39" t="n"/>
      <c r="GN37" s="39" t="n"/>
      <c r="GO37" s="39" t="n"/>
      <c r="GP37" s="39" t="n"/>
    </row>
    <row r="38" ht="14.4" customHeight="1" thickBot="1">
      <c r="B38" s="14" t="inlineStr">
        <is>
          <t>Total</t>
        </is>
      </c>
      <c r="C38" s="15">
        <f>IF(OR(C35=0,C35=""),"",SUM(C35:C37))</f>
        <v/>
      </c>
      <c r="D38" s="15">
        <f>IF(OR(D35=0,D35=""),"",SUM(D35:D37))</f>
        <v/>
      </c>
      <c r="E38" s="15">
        <f>IF(OR(E35=0,E35=""),"",SUM(E35:E37))</f>
        <v/>
      </c>
      <c r="F38" s="15">
        <f>IF(OR(F35=0,F35=""),"",SUM(F35:F37))</f>
        <v/>
      </c>
      <c r="G38" s="15">
        <f>IF(OR(G35=0,G35=""),"",SUM(G35:G37))</f>
        <v/>
      </c>
      <c r="H38" s="15">
        <f>IF(OR(H35=0,H35=""),"",SUM(H35:H37))</f>
        <v/>
      </c>
      <c r="I38" s="1">
        <f>IF(OR(H38=0,H38=""),"",AVERAGE(I35:I37))</f>
        <v/>
      </c>
      <c r="J38" s="15">
        <f>IF(OR(J35=0,J35=""),"",SUM(J35:J37))</f>
        <v/>
      </c>
      <c r="K38" s="1">
        <f>IF(OR(J38=0,J38=""),"",AVERAGE(K35:K37))</f>
        <v/>
      </c>
      <c r="L38" s="15">
        <f>IF(OR(L35=0,L35=""),"",SUM(L35:L37))</f>
        <v/>
      </c>
      <c r="M38" s="1">
        <f>IF(OR(L38=0,L38=""),"",AVERAGE(M35:M37))</f>
        <v/>
      </c>
      <c r="N38" s="15">
        <f>IF(OR(N35=0,N35=""),"",SUM(N35:N37))</f>
        <v/>
      </c>
      <c r="O38" s="1">
        <f>IF(OR(N38=0,N38=""),"",AVERAGE(O35:O37))</f>
        <v/>
      </c>
      <c r="P38" s="1">
        <f>IF(OR(P35=""),"",AVERAGE(P35:P37))</f>
        <v/>
      </c>
      <c r="Q38" s="1">
        <f>IF(OR(Q35=""),"",AVERAGE(Q35:Q37))</f>
        <v/>
      </c>
      <c r="R38" s="1">
        <f>IF(OR(R35=0,R35=""),"",AVERAGE(R35:R37))</f>
        <v/>
      </c>
      <c r="S38" s="1">
        <f>IF(OR(S35=0,S35=""),"",AVERAGE(S35:S37))</f>
        <v/>
      </c>
      <c r="T38" s="25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30" t="n"/>
      <c r="AP38" s="30" t="n"/>
      <c r="AQ38" s="30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30" t="n"/>
      <c r="BB38" s="30" t="n"/>
      <c r="BC38" s="30" t="n"/>
      <c r="BD38" s="30" t="n"/>
      <c r="BE38" s="30" t="n"/>
      <c r="BF38" s="30" t="n"/>
      <c r="BG38" s="30" t="n"/>
      <c r="BH38" s="30" t="n"/>
      <c r="BI38" s="30" t="n"/>
      <c r="BJ38" s="30" t="n"/>
      <c r="BK38" s="30" t="n"/>
      <c r="BL38" s="30" t="n"/>
      <c r="BM38" s="30" t="n"/>
      <c r="BN38" s="30" t="n"/>
      <c r="BO38" s="30" t="n"/>
      <c r="BP38" s="30" t="n"/>
      <c r="BQ38" s="30" t="n"/>
      <c r="BR38" s="30" t="n"/>
      <c r="BS38" s="30" t="n"/>
      <c r="BT38" s="30" t="n"/>
      <c r="BU38" s="30" t="n"/>
      <c r="BV38" s="30" t="n"/>
      <c r="BW38" s="30" t="n"/>
      <c r="BX38" s="30" t="n"/>
      <c r="BY38" s="30" t="n"/>
      <c r="BZ38" s="30" t="n"/>
      <c r="CA38" s="30" t="n"/>
      <c r="CB38" s="30" t="n"/>
      <c r="CC38" s="30" t="n"/>
      <c r="CD38" s="30" t="n"/>
      <c r="CE38" s="30" t="n"/>
      <c r="CF38" s="30" t="n"/>
      <c r="CG38" s="30" t="n"/>
      <c r="CH38" s="30" t="n"/>
      <c r="CI38" s="30" t="n"/>
      <c r="CJ38" s="30" t="n"/>
      <c r="CK38" s="30" t="n"/>
      <c r="CL38" s="30" t="n"/>
      <c r="CM38" s="30" t="n"/>
      <c r="CN38" s="30" t="n"/>
      <c r="CO38" s="30" t="n"/>
      <c r="CP38" s="30" t="n"/>
      <c r="CQ38" s="30" t="n"/>
      <c r="CR38" s="30" t="n"/>
      <c r="CS38" s="30" t="n"/>
      <c r="CT38" s="30" t="n"/>
      <c r="CU38" s="30" t="n"/>
      <c r="CV38" s="30" t="n"/>
      <c r="CW38" s="30" t="n"/>
      <c r="CX38" s="30" t="n"/>
      <c r="CY38" s="30" t="n"/>
      <c r="CZ38" s="30" t="n"/>
      <c r="DA38" s="30" t="n"/>
      <c r="DB38" s="30" t="n"/>
      <c r="DC38" s="30" t="n"/>
      <c r="DD38" s="30" t="n"/>
      <c r="DE38" s="30" t="n"/>
      <c r="DF38" s="30" t="n"/>
      <c r="DG38" s="30" t="n"/>
      <c r="DH38" s="30" t="n"/>
      <c r="DI38" s="30" t="n"/>
      <c r="DJ38" s="30" t="n"/>
      <c r="DK38" s="30" t="n"/>
      <c r="DL38" s="30" t="n"/>
      <c r="DM38" s="30" t="n"/>
      <c r="DN38" s="30" t="n"/>
      <c r="DO38" s="30" t="n"/>
      <c r="DP38" s="30" t="n"/>
      <c r="DQ38" s="30" t="n"/>
      <c r="DR38" s="30" t="n"/>
      <c r="DS38" s="30" t="n"/>
      <c r="DT38" s="30" t="n"/>
      <c r="DU38" s="30" t="n"/>
      <c r="DV38" s="30" t="n"/>
      <c r="DW38" s="30" t="n"/>
      <c r="DX38" s="30" t="n"/>
      <c r="DY38" s="30" t="n"/>
      <c r="DZ38" s="30" t="n"/>
      <c r="EA38" s="30" t="n"/>
      <c r="EB38" s="30" t="n"/>
      <c r="EC38" s="30" t="n"/>
      <c r="ED38" s="30" t="n"/>
      <c r="EE38" s="30" t="n"/>
      <c r="EF38" s="30" t="n"/>
      <c r="EG38" s="30" t="n"/>
      <c r="EH38" s="30" t="n"/>
      <c r="EI38" s="30" t="n"/>
      <c r="EJ38" s="30" t="n"/>
      <c r="EK38" s="30" t="n"/>
      <c r="EL38" s="30" t="n"/>
      <c r="EM38" s="30" t="n"/>
      <c r="EN38" s="30" t="n"/>
      <c r="EO38" s="30" t="n"/>
      <c r="EP38" s="30" t="n"/>
      <c r="EQ38" s="30" t="n"/>
      <c r="ER38" s="30" t="n"/>
      <c r="ES38" s="30" t="n"/>
      <c r="ET38" s="30" t="n"/>
      <c r="EU38" s="30" t="n"/>
      <c r="EV38" s="30" t="n"/>
      <c r="EW38" s="30" t="n"/>
      <c r="EX38" s="30" t="n"/>
      <c r="EY38" s="30" t="n"/>
      <c r="EZ38" s="30" t="n"/>
      <c r="FA38" s="30" t="n"/>
      <c r="FB38" s="30" t="n"/>
      <c r="FC38" s="30" t="n"/>
      <c r="FD38" s="30" t="n"/>
      <c r="FE38" s="30" t="n"/>
      <c r="FF38" s="30" t="n"/>
      <c r="FG38" s="30" t="n"/>
      <c r="FH38" s="30" t="n"/>
      <c r="FI38" s="30" t="n"/>
      <c r="FJ38" s="30" t="n"/>
      <c r="FK38" s="30" t="n"/>
      <c r="FL38" s="30" t="n"/>
      <c r="FM38" s="30" t="n"/>
      <c r="FN38" s="30" t="n"/>
      <c r="FO38" s="30" t="n"/>
      <c r="FP38" s="30" t="n"/>
      <c r="FQ38" s="30" t="n"/>
      <c r="FR38" s="30" t="n"/>
      <c r="FS38" s="30" t="n"/>
      <c r="FT38" s="30" t="n"/>
      <c r="FU38" s="30" t="n"/>
      <c r="FV38" s="30" t="n"/>
      <c r="FW38" s="30" t="n"/>
      <c r="FX38" s="30" t="n"/>
      <c r="FY38" s="30" t="n"/>
      <c r="FZ38" s="30" t="n"/>
      <c r="GA38" s="30" t="n"/>
      <c r="GB38" s="30" t="n"/>
      <c r="GC38" s="30" t="n"/>
      <c r="GD38" s="30" t="n"/>
      <c r="GE38" s="30" t="n"/>
      <c r="GF38" s="30" t="n"/>
      <c r="GG38" s="30" t="n"/>
      <c r="GH38" s="30" t="n"/>
      <c r="GI38" s="30" t="n"/>
      <c r="GJ38" s="30" t="n"/>
      <c r="GK38" s="30" t="n"/>
      <c r="GL38" s="30" t="n"/>
      <c r="GM38" s="30" t="n"/>
      <c r="GN38" s="30" t="n"/>
      <c r="GO38" s="30" t="n"/>
      <c r="GP38" s="30" t="n"/>
    </row>
    <row r="39">
      <c r="B39" s="34" t="n"/>
      <c r="C39" s="35" t="n"/>
      <c r="D39" s="32" t="n"/>
      <c r="E39" s="32" t="n"/>
      <c r="F39" s="35" t="n"/>
      <c r="G39" s="32" t="n"/>
      <c r="H39" s="32" t="n"/>
      <c r="I39" s="35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3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0" t="n"/>
      <c r="BC39" s="30" t="n"/>
      <c r="BD39" s="30" t="n"/>
      <c r="BE39" s="30" t="n"/>
      <c r="BF39" s="30" t="n"/>
      <c r="BG39" s="30" t="n"/>
      <c r="BH39" s="30" t="n"/>
      <c r="BI39" s="30" t="n"/>
      <c r="BJ39" s="30" t="n"/>
      <c r="BK39" s="30" t="n"/>
      <c r="BL39" s="30" t="n"/>
      <c r="BM39" s="30" t="n"/>
      <c r="BN39" s="30" t="n"/>
      <c r="BO39" s="30" t="n"/>
      <c r="BP39" s="30" t="n"/>
      <c r="BQ39" s="30" t="n"/>
      <c r="BR39" s="30" t="n"/>
      <c r="BS39" s="30" t="n"/>
      <c r="BT39" s="30" t="n"/>
      <c r="BU39" s="30" t="n"/>
      <c r="BV39" s="30" t="n"/>
      <c r="BW39" s="30" t="n"/>
      <c r="BX39" s="30" t="n"/>
      <c r="BY39" s="30" t="n"/>
      <c r="BZ39" s="30" t="n"/>
      <c r="CA39" s="30" t="n"/>
      <c r="CB39" s="30" t="n"/>
      <c r="CC39" s="30" t="n"/>
      <c r="CD39" s="30" t="n"/>
      <c r="CE39" s="30" t="n"/>
      <c r="CF39" s="30" t="n"/>
      <c r="CG39" s="30" t="n"/>
      <c r="CH39" s="30" t="n"/>
      <c r="CI39" s="30" t="n"/>
      <c r="CJ39" s="30" t="n"/>
      <c r="CK39" s="30" t="n"/>
      <c r="CL39" s="30" t="n"/>
      <c r="CM39" s="30" t="n"/>
      <c r="CN39" s="30" t="n"/>
      <c r="CO39" s="30" t="n"/>
      <c r="CP39" s="30" t="n"/>
      <c r="CQ39" s="30" t="n"/>
      <c r="CR39" s="30" t="n"/>
      <c r="CS39" s="30" t="n"/>
      <c r="CT39" s="30" t="n"/>
      <c r="CU39" s="30" t="n"/>
      <c r="CV39" s="30" t="n"/>
      <c r="CW39" s="30" t="n"/>
      <c r="CX39" s="30" t="n"/>
      <c r="CY39" s="30" t="n"/>
      <c r="CZ39" s="30" t="n"/>
      <c r="DA39" s="30" t="n"/>
      <c r="DB39" s="30" t="n"/>
      <c r="DC39" s="30" t="n"/>
      <c r="DD39" s="30" t="n"/>
      <c r="DE39" s="30" t="n"/>
      <c r="DF39" s="30" t="n"/>
      <c r="DG39" s="30" t="n"/>
      <c r="DH39" s="30" t="n"/>
      <c r="DI39" s="30" t="n"/>
      <c r="DJ39" s="30" t="n"/>
      <c r="DK39" s="30" t="n"/>
      <c r="DL39" s="30" t="n"/>
      <c r="DM39" s="30" t="n"/>
      <c r="DN39" s="30" t="n"/>
      <c r="DO39" s="30" t="n"/>
      <c r="DP39" s="30" t="n"/>
      <c r="DQ39" s="30" t="n"/>
      <c r="DR39" s="30" t="n"/>
      <c r="DS39" s="30" t="n"/>
      <c r="DT39" s="30" t="n"/>
      <c r="DU39" s="30" t="n"/>
      <c r="DV39" s="30" t="n"/>
      <c r="DW39" s="30" t="n"/>
      <c r="DX39" s="30" t="n"/>
      <c r="DY39" s="30" t="n"/>
      <c r="DZ39" s="30" t="n"/>
      <c r="EA39" s="30" t="n"/>
      <c r="EB39" s="30" t="n"/>
      <c r="EC39" s="30" t="n"/>
      <c r="ED39" s="30" t="n"/>
      <c r="EE39" s="30" t="n"/>
      <c r="EF39" s="30" t="n"/>
      <c r="EG39" s="30" t="n"/>
      <c r="EH39" s="30" t="n"/>
      <c r="EI39" s="30" t="n"/>
      <c r="EJ39" s="30" t="n"/>
      <c r="EK39" s="30" t="n"/>
      <c r="EL39" s="30" t="n"/>
      <c r="EM39" s="30" t="n"/>
      <c r="EN39" s="30" t="n"/>
      <c r="EO39" s="30" t="n"/>
      <c r="EP39" s="30" t="n"/>
      <c r="EQ39" s="30" t="n"/>
      <c r="ER39" s="30" t="n"/>
      <c r="ES39" s="30" t="n"/>
      <c r="ET39" s="30" t="n"/>
      <c r="EU39" s="30" t="n"/>
      <c r="EV39" s="30" t="n"/>
      <c r="EW39" s="30" t="n"/>
      <c r="EX39" s="30" t="n"/>
      <c r="EY39" s="30" t="n"/>
      <c r="EZ39" s="30" t="n"/>
      <c r="FA39" s="30" t="n"/>
      <c r="FB39" s="30" t="n"/>
      <c r="FC39" s="30" t="n"/>
      <c r="FD39" s="30" t="n"/>
      <c r="FE39" s="30" t="n"/>
      <c r="FF39" s="30" t="n"/>
      <c r="FG39" s="30" t="n"/>
      <c r="FH39" s="30" t="n"/>
      <c r="FI39" s="30" t="n"/>
      <c r="FJ39" s="30" t="n"/>
      <c r="FK39" s="30" t="n"/>
      <c r="FL39" s="30" t="n"/>
      <c r="FM39" s="30" t="n"/>
      <c r="FN39" s="30" t="n"/>
      <c r="FO39" s="30" t="n"/>
      <c r="FP39" s="30" t="n"/>
      <c r="FQ39" s="30" t="n"/>
      <c r="FR39" s="30" t="n"/>
      <c r="FS39" s="30" t="n"/>
      <c r="FT39" s="30" t="n"/>
      <c r="FU39" s="30" t="n"/>
      <c r="FV39" s="30" t="n"/>
      <c r="FW39" s="30" t="n"/>
      <c r="FX39" s="30" t="n"/>
      <c r="FY39" s="30" t="n"/>
      <c r="FZ39" s="30" t="n"/>
      <c r="GA39" s="30" t="n"/>
      <c r="GB39" s="30" t="n"/>
      <c r="GC39" s="30" t="n"/>
      <c r="GD39" s="30" t="n"/>
      <c r="GE39" s="30" t="n"/>
      <c r="GF39" s="30" t="n"/>
      <c r="GG39" s="30" t="n"/>
      <c r="GH39" s="30" t="n"/>
      <c r="GI39" s="30" t="n"/>
      <c r="GJ39" s="30" t="n"/>
      <c r="GK39" s="30" t="n"/>
      <c r="GL39" s="30" t="n"/>
      <c r="GM39" s="30" t="n"/>
      <c r="GN39" s="30" t="n"/>
      <c r="GO39" s="30" t="n"/>
      <c r="GP39" s="30" t="n"/>
    </row>
    <row r="40" ht="13.8" customHeight="1" thickBot="1">
      <c r="B40" s="36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7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  <c r="BB40" s="30" t="n"/>
      <c r="BC40" s="30" t="n"/>
      <c r="BD40" s="30" t="n"/>
      <c r="BE40" s="30" t="n"/>
      <c r="BF40" s="30" t="n"/>
      <c r="BG40" s="30" t="n"/>
      <c r="BH40" s="30" t="n"/>
      <c r="BI40" s="30" t="n"/>
      <c r="BJ40" s="30" t="n"/>
      <c r="BK40" s="30" t="n"/>
      <c r="BL40" s="30" t="n"/>
      <c r="BM40" s="30" t="n"/>
      <c r="BN40" s="30" t="n"/>
      <c r="BO40" s="30" t="n"/>
      <c r="BP40" s="30" t="n"/>
      <c r="BQ40" s="30" t="n"/>
      <c r="BR40" s="30" t="n"/>
      <c r="BS40" s="30" t="n"/>
      <c r="BT40" s="30" t="n"/>
      <c r="BU40" s="30" t="n"/>
      <c r="BV40" s="30" t="n"/>
      <c r="BW40" s="30" t="n"/>
      <c r="BX40" s="30" t="n"/>
      <c r="BY40" s="30" t="n"/>
      <c r="BZ40" s="30" t="n"/>
      <c r="CA40" s="30" t="n"/>
      <c r="CB40" s="30" t="n"/>
      <c r="CC40" s="30" t="n"/>
      <c r="CD40" s="30" t="n"/>
      <c r="CE40" s="30" t="n"/>
      <c r="CF40" s="30" t="n"/>
      <c r="CG40" s="30" t="n"/>
      <c r="CH40" s="30" t="n"/>
      <c r="CI40" s="30" t="n"/>
      <c r="CJ40" s="30" t="n"/>
      <c r="CK40" s="30" t="n"/>
      <c r="CL40" s="30" t="n"/>
      <c r="CM40" s="30" t="n"/>
      <c r="CN40" s="30" t="n"/>
      <c r="CO40" s="30" t="n"/>
      <c r="CP40" s="30" t="n"/>
      <c r="CQ40" s="30" t="n"/>
      <c r="CR40" s="30" t="n"/>
      <c r="CS40" s="30" t="n"/>
      <c r="CT40" s="30" t="n"/>
      <c r="CU40" s="30" t="n"/>
      <c r="CV40" s="30" t="n"/>
      <c r="CW40" s="30" t="n"/>
      <c r="CX40" s="30" t="n"/>
      <c r="CY40" s="30" t="n"/>
      <c r="CZ40" s="30" t="n"/>
      <c r="DA40" s="30" t="n"/>
      <c r="DB40" s="30" t="n"/>
      <c r="DC40" s="30" t="n"/>
      <c r="DD40" s="30" t="n"/>
      <c r="DE40" s="30" t="n"/>
      <c r="DF40" s="30" t="n"/>
      <c r="DG40" s="30" t="n"/>
      <c r="DH40" s="30" t="n"/>
      <c r="DI40" s="30" t="n"/>
      <c r="DJ40" s="30" t="n"/>
      <c r="DK40" s="30" t="n"/>
      <c r="DL40" s="30" t="n"/>
      <c r="DM40" s="30" t="n"/>
      <c r="DN40" s="30" t="n"/>
      <c r="DO40" s="30" t="n"/>
      <c r="DP40" s="30" t="n"/>
      <c r="DQ40" s="30" t="n"/>
      <c r="DR40" s="30" t="n"/>
      <c r="DS40" s="30" t="n"/>
      <c r="DT40" s="30" t="n"/>
      <c r="DU40" s="30" t="n"/>
      <c r="DV40" s="30" t="n"/>
      <c r="DW40" s="30" t="n"/>
      <c r="DX40" s="30" t="n"/>
      <c r="DY40" s="30" t="n"/>
      <c r="DZ40" s="30" t="n"/>
      <c r="EA40" s="30" t="n"/>
      <c r="EB40" s="30" t="n"/>
      <c r="EC40" s="30" t="n"/>
      <c r="ED40" s="30" t="n"/>
      <c r="EE40" s="30" t="n"/>
      <c r="EF40" s="30" t="n"/>
      <c r="EG40" s="30" t="n"/>
      <c r="EH40" s="30" t="n"/>
      <c r="EI40" s="30" t="n"/>
      <c r="EJ40" s="30" t="n"/>
      <c r="EK40" s="30" t="n"/>
      <c r="EL40" s="30" t="n"/>
      <c r="EM40" s="30" t="n"/>
      <c r="EN40" s="30" t="n"/>
      <c r="EO40" s="30" t="n"/>
      <c r="EP40" s="30" t="n"/>
      <c r="EQ40" s="30" t="n"/>
      <c r="ER40" s="30" t="n"/>
      <c r="ES40" s="30" t="n"/>
      <c r="ET40" s="30" t="n"/>
      <c r="EU40" s="30" t="n"/>
      <c r="EV40" s="30" t="n"/>
      <c r="EW40" s="30" t="n"/>
      <c r="EX40" s="30" t="n"/>
      <c r="EY40" s="30" t="n"/>
      <c r="EZ40" s="30" t="n"/>
      <c r="FA40" s="30" t="n"/>
      <c r="FB40" s="30" t="n"/>
      <c r="FC40" s="30" t="n"/>
      <c r="FD40" s="30" t="n"/>
      <c r="FE40" s="30" t="n"/>
      <c r="FF40" s="30" t="n"/>
      <c r="FG40" s="30" t="n"/>
      <c r="FH40" s="30" t="n"/>
      <c r="FI40" s="30" t="n"/>
      <c r="FJ40" s="30" t="n"/>
      <c r="FK40" s="30" t="n"/>
      <c r="FL40" s="30" t="n"/>
      <c r="FM40" s="30" t="n"/>
      <c r="FN40" s="30" t="n"/>
      <c r="FO40" s="30" t="n"/>
      <c r="FP40" s="30" t="n"/>
      <c r="FQ40" s="30" t="n"/>
      <c r="FR40" s="30" t="n"/>
      <c r="FS40" s="30" t="n"/>
      <c r="FT40" s="30" t="n"/>
      <c r="FU40" s="30" t="n"/>
      <c r="FV40" s="30" t="n"/>
      <c r="FW40" s="30" t="n"/>
      <c r="FX40" s="30" t="n"/>
      <c r="FY40" s="30" t="n"/>
      <c r="FZ40" s="30" t="n"/>
      <c r="GA40" s="30" t="n"/>
      <c r="GB40" s="30" t="n"/>
      <c r="GC40" s="30" t="n"/>
      <c r="GD40" s="30" t="n"/>
      <c r="GE40" s="30" t="n"/>
      <c r="GF40" s="30" t="n"/>
      <c r="GG40" s="30" t="n"/>
      <c r="GH40" s="30" t="n"/>
      <c r="GI40" s="30" t="n"/>
      <c r="GJ40" s="30" t="n"/>
      <c r="GK40" s="30" t="n"/>
      <c r="GL40" s="30" t="n"/>
      <c r="GM40" s="30" t="n"/>
      <c r="GN40" s="30" t="n"/>
      <c r="GO40" s="30" t="n"/>
      <c r="GP40" s="30" t="n"/>
    </row>
    <row r="41" ht="13.8" customHeight="1" thickBot="1">
      <c r="B41" s="41" t="inlineStr">
        <is>
          <t>Análisis de Resultados IT V</t>
        </is>
      </c>
      <c r="C41" s="42" t="n"/>
      <c r="D41" s="43" t="n"/>
      <c r="E41" s="43" t="n"/>
      <c r="F41" s="42" t="n"/>
      <c r="G41" s="43" t="n"/>
      <c r="H41" s="43" t="n"/>
      <c r="I41" s="42" t="n"/>
      <c r="J41" s="43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5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30" t="n"/>
      <c r="AP41" s="30" t="n"/>
      <c r="AQ41" s="30" t="n"/>
      <c r="AR41" s="30" t="n"/>
      <c r="AS41" s="30" t="n"/>
      <c r="AT41" s="30" t="n"/>
      <c r="AU41" s="30" t="n"/>
      <c r="AV41" s="30" t="n"/>
      <c r="AW41" s="30" t="n"/>
      <c r="AX41" s="30" t="n"/>
      <c r="AY41" s="30" t="n"/>
      <c r="AZ41" s="30" t="n"/>
      <c r="BA41" s="30" t="n"/>
      <c r="BB41" s="30" t="n"/>
      <c r="BC41" s="30" t="n"/>
      <c r="BD41" s="30" t="n"/>
      <c r="BE41" s="30" t="n"/>
      <c r="BF41" s="30" t="n"/>
      <c r="BG41" s="30" t="n"/>
      <c r="BH41" s="30" t="n"/>
      <c r="BI41" s="30" t="n"/>
      <c r="BJ41" s="30" t="n"/>
      <c r="BK41" s="30" t="n"/>
      <c r="BL41" s="30" t="n"/>
      <c r="BM41" s="30" t="n"/>
      <c r="BN41" s="30" t="n"/>
      <c r="BO41" s="30" t="n"/>
      <c r="BP41" s="30" t="n"/>
      <c r="BQ41" s="30" t="n"/>
      <c r="BR41" s="30" t="n"/>
      <c r="BS41" s="30" t="n"/>
      <c r="BT41" s="30" t="n"/>
      <c r="BU41" s="30" t="n"/>
      <c r="BV41" s="30" t="n"/>
      <c r="BW41" s="30" t="n"/>
      <c r="BX41" s="30" t="n"/>
      <c r="BY41" s="30" t="n"/>
      <c r="BZ41" s="30" t="n"/>
      <c r="CA41" s="30" t="n"/>
      <c r="CB41" s="30" t="n"/>
      <c r="CC41" s="30" t="n"/>
      <c r="CD41" s="30" t="n"/>
      <c r="CE41" s="30" t="n"/>
      <c r="CF41" s="30" t="n"/>
      <c r="CG41" s="30" t="n"/>
      <c r="CH41" s="30" t="n"/>
      <c r="CI41" s="30" t="n"/>
      <c r="CJ41" s="30" t="n"/>
      <c r="CK41" s="30" t="n"/>
      <c r="CL41" s="30" t="n"/>
      <c r="CM41" s="30" t="n"/>
      <c r="CN41" s="30" t="n"/>
      <c r="CO41" s="30" t="n"/>
      <c r="CP41" s="30" t="n"/>
      <c r="CQ41" s="30" t="n"/>
      <c r="CR41" s="30" t="n"/>
      <c r="CS41" s="30" t="n"/>
      <c r="CT41" s="30" t="n"/>
      <c r="CU41" s="30" t="n"/>
      <c r="CV41" s="30" t="n"/>
      <c r="CW41" s="30" t="n"/>
      <c r="CX41" s="30" t="n"/>
      <c r="CY41" s="30" t="n"/>
      <c r="CZ41" s="30" t="n"/>
      <c r="DA41" s="30" t="n"/>
      <c r="DB41" s="30" t="n"/>
      <c r="DC41" s="30" t="n"/>
      <c r="DD41" s="30" t="n"/>
      <c r="DE41" s="30" t="n"/>
      <c r="DF41" s="30" t="n"/>
      <c r="DG41" s="30" t="n"/>
      <c r="DH41" s="30" t="n"/>
      <c r="DI41" s="30" t="n"/>
      <c r="DJ41" s="30" t="n"/>
      <c r="DK41" s="30" t="n"/>
      <c r="DL41" s="30" t="n"/>
      <c r="DM41" s="30" t="n"/>
      <c r="DN41" s="30" t="n"/>
      <c r="DO41" s="30" t="n"/>
      <c r="DP41" s="30" t="n"/>
      <c r="DQ41" s="30" t="n"/>
      <c r="DR41" s="30" t="n"/>
      <c r="DS41" s="30" t="n"/>
      <c r="DT41" s="30" t="n"/>
      <c r="DU41" s="30" t="n"/>
      <c r="DV41" s="30" t="n"/>
      <c r="DW41" s="30" t="n"/>
      <c r="DX41" s="30" t="n"/>
      <c r="DY41" s="30" t="n"/>
      <c r="DZ41" s="30" t="n"/>
      <c r="EA41" s="30" t="n"/>
      <c r="EB41" s="30" t="n"/>
      <c r="EC41" s="30" t="n"/>
      <c r="ED41" s="30" t="n"/>
      <c r="EE41" s="30" t="n"/>
      <c r="EF41" s="30" t="n"/>
      <c r="EG41" s="30" t="n"/>
      <c r="EH41" s="30" t="n"/>
      <c r="EI41" s="30" t="n"/>
      <c r="EJ41" s="30" t="n"/>
      <c r="EK41" s="30" t="n"/>
      <c r="EL41" s="30" t="n"/>
      <c r="EM41" s="30" t="n"/>
      <c r="EN41" s="30" t="n"/>
      <c r="EO41" s="30" t="n"/>
      <c r="EP41" s="30" t="n"/>
      <c r="EQ41" s="30" t="n"/>
      <c r="ER41" s="30" t="n"/>
      <c r="ES41" s="30" t="n"/>
      <c r="ET41" s="30" t="n"/>
      <c r="EU41" s="30" t="n"/>
      <c r="EV41" s="30" t="n"/>
      <c r="EW41" s="30" t="n"/>
      <c r="EX41" s="30" t="n"/>
      <c r="EY41" s="30" t="n"/>
      <c r="EZ41" s="30" t="n"/>
      <c r="FA41" s="30" t="n"/>
      <c r="FB41" s="30" t="n"/>
      <c r="FC41" s="30" t="n"/>
      <c r="FD41" s="30" t="n"/>
      <c r="FE41" s="30" t="n"/>
      <c r="FF41" s="30" t="n"/>
      <c r="FG41" s="30" t="n"/>
      <c r="FH41" s="30" t="n"/>
      <c r="FI41" s="30" t="n"/>
      <c r="FJ41" s="30" t="n"/>
      <c r="FK41" s="30" t="n"/>
      <c r="FL41" s="30" t="n"/>
      <c r="FM41" s="30" t="n"/>
      <c r="FN41" s="30" t="n"/>
      <c r="FO41" s="30" t="n"/>
      <c r="FP41" s="30" t="n"/>
      <c r="FQ41" s="30" t="n"/>
      <c r="FR41" s="30" t="n"/>
      <c r="FS41" s="30" t="n"/>
      <c r="FT41" s="30" t="n"/>
      <c r="FU41" s="30" t="n"/>
      <c r="FV41" s="30" t="n"/>
      <c r="FW41" s="30" t="n"/>
      <c r="FX41" s="30" t="n"/>
      <c r="FY41" s="30" t="n"/>
      <c r="FZ41" s="30" t="n"/>
      <c r="GA41" s="30" t="n"/>
      <c r="GB41" s="30" t="n"/>
      <c r="GC41" s="30" t="n"/>
      <c r="GD41" s="30" t="n"/>
      <c r="GE41" s="30" t="n"/>
      <c r="GF41" s="30" t="n"/>
      <c r="GG41" s="30" t="n"/>
      <c r="GH41" s="30" t="n"/>
      <c r="GI41" s="30" t="n"/>
      <c r="GJ41" s="30" t="n"/>
      <c r="GK41" s="30" t="n"/>
      <c r="GL41" s="30" t="n"/>
      <c r="GM41" s="30" t="n"/>
      <c r="GN41" s="30" t="n"/>
      <c r="GO41" s="30" t="n"/>
      <c r="GP41" s="30" t="n"/>
    </row>
    <row r="42" ht="13.5" customHeight="1" thickBot="1">
      <c r="B42" s="9" t="inlineStr">
        <is>
          <t>Funcionalidad o Requerimiento</t>
        </is>
      </c>
      <c r="C42" s="9" t="inlineStr">
        <is>
          <t>Nro. Reqs Prueba</t>
        </is>
      </c>
      <c r="D42" s="9" t="inlineStr">
        <is>
          <t>No Conformidades</t>
        </is>
      </c>
      <c r="E42" s="175" t="n"/>
      <c r="F42" s="176" t="n"/>
      <c r="G42" s="9" t="inlineStr">
        <is>
          <t>NC Anulados</t>
        </is>
      </c>
      <c r="H42" s="181" t="inlineStr">
        <is>
          <t>Resultados</t>
        </is>
      </c>
      <c r="I42" s="175" t="n"/>
      <c r="J42" s="175" t="n"/>
      <c r="K42" s="175" t="n"/>
      <c r="L42" s="175" t="n"/>
      <c r="M42" s="175" t="n"/>
      <c r="N42" s="175" t="n"/>
      <c r="O42" s="176" t="n"/>
      <c r="P42" s="9" t="inlineStr">
        <is>
          <t>Correctitud</t>
        </is>
      </c>
      <c r="Q42" s="9" t="inlineStr">
        <is>
          <t>Densidad NC</t>
        </is>
      </c>
      <c r="R42" s="9" t="inlineStr">
        <is>
          <t>Confiab.</t>
        </is>
      </c>
      <c r="S42" s="9" t="inlineStr">
        <is>
          <t>Cobertura</t>
        </is>
      </c>
      <c r="T42" s="9" t="inlineStr">
        <is>
          <t>Observaciones</t>
        </is>
      </c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0" t="n"/>
      <c r="AO42" s="30" t="n"/>
      <c r="AP42" s="30" t="n"/>
      <c r="AQ42" s="30" t="n"/>
      <c r="AR42" s="30" t="n"/>
      <c r="AS42" s="30" t="n"/>
      <c r="AT42" s="30" t="n"/>
      <c r="AU42" s="30" t="n"/>
      <c r="AV42" s="30" t="n"/>
      <c r="AW42" s="30" t="n"/>
      <c r="AX42" s="30" t="n"/>
      <c r="AY42" s="30" t="n"/>
      <c r="AZ42" s="30" t="n"/>
      <c r="BA42" s="30" t="n"/>
      <c r="BB42" s="30" t="n"/>
      <c r="BC42" s="30" t="n"/>
      <c r="BD42" s="30" t="n"/>
      <c r="BE42" s="30" t="n"/>
      <c r="BF42" s="30" t="n"/>
      <c r="BG42" s="30" t="n"/>
      <c r="BH42" s="30" t="n"/>
      <c r="BI42" s="30" t="n"/>
      <c r="BJ42" s="30" t="n"/>
      <c r="BK42" s="30" t="n"/>
      <c r="BL42" s="30" t="n"/>
      <c r="BM42" s="30" t="n"/>
      <c r="BN42" s="30" t="n"/>
      <c r="BO42" s="30" t="n"/>
      <c r="BP42" s="30" t="n"/>
      <c r="BQ42" s="30" t="n"/>
      <c r="BR42" s="30" t="n"/>
      <c r="BS42" s="30" t="n"/>
      <c r="BT42" s="30" t="n"/>
      <c r="BU42" s="30" t="n"/>
      <c r="BV42" s="30" t="n"/>
      <c r="BW42" s="30" t="n"/>
      <c r="BX42" s="30" t="n"/>
      <c r="BY42" s="30" t="n"/>
      <c r="BZ42" s="30" t="n"/>
      <c r="CA42" s="30" t="n"/>
      <c r="CB42" s="30" t="n"/>
      <c r="CC42" s="30" t="n"/>
      <c r="CD42" s="30" t="n"/>
      <c r="CE42" s="30" t="n"/>
      <c r="CF42" s="30" t="n"/>
      <c r="CG42" s="30" t="n"/>
      <c r="CH42" s="30" t="n"/>
      <c r="CI42" s="30" t="n"/>
      <c r="CJ42" s="30" t="n"/>
      <c r="CK42" s="30" t="n"/>
      <c r="CL42" s="30" t="n"/>
      <c r="CM42" s="30" t="n"/>
      <c r="CN42" s="30" t="n"/>
      <c r="CO42" s="30" t="n"/>
      <c r="CP42" s="30" t="n"/>
      <c r="CQ42" s="30" t="n"/>
      <c r="CR42" s="30" t="n"/>
      <c r="CS42" s="30" t="n"/>
      <c r="CT42" s="30" t="n"/>
      <c r="CU42" s="30" t="n"/>
      <c r="CV42" s="30" t="n"/>
      <c r="CW42" s="30" t="n"/>
      <c r="CX42" s="30" t="n"/>
      <c r="CY42" s="30" t="n"/>
      <c r="CZ42" s="30" t="n"/>
      <c r="DA42" s="30" t="n"/>
      <c r="DB42" s="30" t="n"/>
      <c r="DC42" s="30" t="n"/>
      <c r="DD42" s="30" t="n"/>
      <c r="DE42" s="30" t="n"/>
      <c r="DF42" s="30" t="n"/>
      <c r="DG42" s="30" t="n"/>
      <c r="DH42" s="30" t="n"/>
      <c r="DI42" s="30" t="n"/>
      <c r="DJ42" s="30" t="n"/>
      <c r="DK42" s="30" t="n"/>
      <c r="DL42" s="30" t="n"/>
      <c r="DM42" s="30" t="n"/>
      <c r="DN42" s="30" t="n"/>
      <c r="DO42" s="30" t="n"/>
      <c r="DP42" s="30" t="n"/>
      <c r="DQ42" s="30" t="n"/>
      <c r="DR42" s="30" t="n"/>
      <c r="DS42" s="30" t="n"/>
      <c r="DT42" s="30" t="n"/>
      <c r="DU42" s="30" t="n"/>
      <c r="DV42" s="30" t="n"/>
      <c r="DW42" s="30" t="n"/>
      <c r="DX42" s="30" t="n"/>
      <c r="DY42" s="30" t="n"/>
      <c r="DZ42" s="30" t="n"/>
      <c r="EA42" s="30" t="n"/>
      <c r="EB42" s="30" t="n"/>
      <c r="EC42" s="30" t="n"/>
      <c r="ED42" s="30" t="n"/>
      <c r="EE42" s="30" t="n"/>
      <c r="EF42" s="30" t="n"/>
      <c r="EG42" s="30" t="n"/>
      <c r="EH42" s="30" t="n"/>
      <c r="EI42" s="30" t="n"/>
      <c r="EJ42" s="30" t="n"/>
      <c r="EK42" s="30" t="n"/>
      <c r="EL42" s="30" t="n"/>
      <c r="EM42" s="30" t="n"/>
      <c r="EN42" s="30" t="n"/>
      <c r="EO42" s="30" t="n"/>
      <c r="EP42" s="30" t="n"/>
      <c r="EQ42" s="30" t="n"/>
      <c r="ER42" s="30" t="n"/>
      <c r="ES42" s="30" t="n"/>
      <c r="ET42" s="30" t="n"/>
      <c r="EU42" s="30" t="n"/>
      <c r="EV42" s="30" t="n"/>
      <c r="EW42" s="30" t="n"/>
      <c r="EX42" s="30" t="n"/>
      <c r="EY42" s="30" t="n"/>
      <c r="EZ42" s="30" t="n"/>
      <c r="FA42" s="30" t="n"/>
      <c r="FB42" s="30" t="n"/>
      <c r="FC42" s="30" t="n"/>
      <c r="FD42" s="30" t="n"/>
      <c r="FE42" s="30" t="n"/>
      <c r="FF42" s="30" t="n"/>
      <c r="FG42" s="30" t="n"/>
      <c r="FH42" s="30" t="n"/>
      <c r="FI42" s="30" t="n"/>
      <c r="FJ42" s="30" t="n"/>
      <c r="FK42" s="30" t="n"/>
      <c r="FL42" s="30" t="n"/>
      <c r="FM42" s="30" t="n"/>
      <c r="FN42" s="30" t="n"/>
      <c r="FO42" s="30" t="n"/>
      <c r="FP42" s="30" t="n"/>
      <c r="FQ42" s="30" t="n"/>
      <c r="FR42" s="30" t="n"/>
      <c r="FS42" s="30" t="n"/>
      <c r="FT42" s="30" t="n"/>
      <c r="FU42" s="30" t="n"/>
      <c r="FV42" s="30" t="n"/>
      <c r="FW42" s="30" t="n"/>
      <c r="FX42" s="30" t="n"/>
      <c r="FY42" s="30" t="n"/>
      <c r="FZ42" s="30" t="n"/>
      <c r="GA42" s="30" t="n"/>
      <c r="GB42" s="30" t="n"/>
      <c r="GC42" s="30" t="n"/>
      <c r="GD42" s="30" t="n"/>
      <c r="GE42" s="30" t="n"/>
      <c r="GF42" s="30" t="n"/>
      <c r="GG42" s="30" t="n"/>
      <c r="GH42" s="30" t="n"/>
      <c r="GI42" s="30" t="n"/>
      <c r="GJ42" s="30" t="n"/>
      <c r="GK42" s="30" t="n"/>
      <c r="GL42" s="30" t="n"/>
      <c r="GM42" s="30" t="n"/>
      <c r="GN42" s="30" t="n"/>
      <c r="GO42" s="30" t="n"/>
      <c r="GP42" s="30" t="n"/>
    </row>
    <row r="43" ht="13.8" customHeight="1" thickBot="1">
      <c r="B43" s="178" t="n"/>
      <c r="C43" s="178" t="n"/>
      <c r="D43" s="9" t="inlineStr">
        <is>
          <t>Bloqueante</t>
        </is>
      </c>
      <c r="E43" s="9" t="inlineStr">
        <is>
          <t>Funcional</t>
        </is>
      </c>
      <c r="F43" s="9" t="inlineStr">
        <is>
          <t>Presentación</t>
        </is>
      </c>
      <c r="G43" s="178" t="n"/>
      <c r="H43" s="181" t="inlineStr">
        <is>
          <t>Ejecutados</t>
        </is>
      </c>
      <c r="I43" s="176" t="n"/>
      <c r="J43" s="179" t="inlineStr">
        <is>
          <t>OK</t>
        </is>
      </c>
      <c r="K43" s="180" t="n"/>
      <c r="L43" s="182" t="inlineStr">
        <is>
          <t>NOK</t>
        </is>
      </c>
      <c r="M43" s="180" t="n"/>
      <c r="N43" s="181" t="inlineStr">
        <is>
          <t>PDTE</t>
        </is>
      </c>
      <c r="O43" s="176" t="n"/>
      <c r="P43" s="178" t="n"/>
      <c r="Q43" s="178" t="n"/>
      <c r="R43" s="178" t="n"/>
      <c r="S43" s="178" t="n"/>
      <c r="T43" s="178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30" t="n"/>
      <c r="AP43" s="30" t="n"/>
      <c r="AQ43" s="30" t="n"/>
      <c r="AR43" s="30" t="n"/>
      <c r="AS43" s="30" t="n"/>
      <c r="AT43" s="30" t="n"/>
      <c r="AU43" s="30" t="n"/>
      <c r="AV43" s="30" t="n"/>
      <c r="AW43" s="30" t="n"/>
      <c r="AX43" s="30" t="n"/>
      <c r="AY43" s="30" t="n"/>
      <c r="AZ43" s="30" t="n"/>
      <c r="BA43" s="30" t="n"/>
      <c r="BB43" s="30" t="n"/>
      <c r="BC43" s="30" t="n"/>
      <c r="BD43" s="30" t="n"/>
      <c r="BE43" s="30" t="n"/>
      <c r="BF43" s="30" t="n"/>
      <c r="BG43" s="30" t="n"/>
      <c r="BH43" s="30" t="n"/>
      <c r="BI43" s="30" t="n"/>
      <c r="BJ43" s="30" t="n"/>
      <c r="BK43" s="30" t="n"/>
      <c r="BL43" s="30" t="n"/>
      <c r="BM43" s="30" t="n"/>
      <c r="BN43" s="30" t="n"/>
      <c r="BO43" s="30" t="n"/>
      <c r="BP43" s="30" t="n"/>
      <c r="BQ43" s="30" t="n"/>
      <c r="BR43" s="30" t="n"/>
      <c r="BS43" s="30" t="n"/>
      <c r="BT43" s="30" t="n"/>
      <c r="BU43" s="30" t="n"/>
      <c r="BV43" s="30" t="n"/>
      <c r="BW43" s="30" t="n"/>
      <c r="BX43" s="30" t="n"/>
      <c r="BY43" s="30" t="n"/>
      <c r="BZ43" s="30" t="n"/>
      <c r="CA43" s="30" t="n"/>
      <c r="CB43" s="30" t="n"/>
      <c r="CC43" s="30" t="n"/>
      <c r="CD43" s="30" t="n"/>
      <c r="CE43" s="30" t="n"/>
      <c r="CF43" s="30" t="n"/>
      <c r="CG43" s="30" t="n"/>
      <c r="CH43" s="30" t="n"/>
      <c r="CI43" s="30" t="n"/>
      <c r="CJ43" s="30" t="n"/>
      <c r="CK43" s="30" t="n"/>
      <c r="CL43" s="30" t="n"/>
      <c r="CM43" s="30" t="n"/>
      <c r="CN43" s="30" t="n"/>
      <c r="CO43" s="30" t="n"/>
      <c r="CP43" s="30" t="n"/>
      <c r="CQ43" s="30" t="n"/>
      <c r="CR43" s="30" t="n"/>
      <c r="CS43" s="30" t="n"/>
      <c r="CT43" s="30" t="n"/>
      <c r="CU43" s="30" t="n"/>
      <c r="CV43" s="30" t="n"/>
      <c r="CW43" s="30" t="n"/>
      <c r="CX43" s="30" t="n"/>
      <c r="CY43" s="30" t="n"/>
      <c r="CZ43" s="30" t="n"/>
      <c r="DA43" s="30" t="n"/>
      <c r="DB43" s="30" t="n"/>
      <c r="DC43" s="30" t="n"/>
      <c r="DD43" s="30" t="n"/>
      <c r="DE43" s="30" t="n"/>
      <c r="DF43" s="30" t="n"/>
      <c r="DG43" s="30" t="n"/>
      <c r="DH43" s="30" t="n"/>
      <c r="DI43" s="30" t="n"/>
      <c r="DJ43" s="30" t="n"/>
      <c r="DK43" s="30" t="n"/>
      <c r="DL43" s="30" t="n"/>
      <c r="DM43" s="30" t="n"/>
      <c r="DN43" s="30" t="n"/>
      <c r="DO43" s="30" t="n"/>
      <c r="DP43" s="30" t="n"/>
      <c r="DQ43" s="30" t="n"/>
      <c r="DR43" s="30" t="n"/>
      <c r="DS43" s="30" t="n"/>
      <c r="DT43" s="30" t="n"/>
      <c r="DU43" s="30" t="n"/>
      <c r="DV43" s="30" t="n"/>
      <c r="DW43" s="30" t="n"/>
      <c r="DX43" s="30" t="n"/>
      <c r="DY43" s="30" t="n"/>
      <c r="DZ43" s="30" t="n"/>
      <c r="EA43" s="30" t="n"/>
      <c r="EB43" s="30" t="n"/>
      <c r="EC43" s="30" t="n"/>
      <c r="ED43" s="30" t="n"/>
      <c r="EE43" s="30" t="n"/>
      <c r="EF43" s="30" t="n"/>
      <c r="EG43" s="30" t="n"/>
      <c r="EH43" s="30" t="n"/>
      <c r="EI43" s="30" t="n"/>
      <c r="EJ43" s="30" t="n"/>
      <c r="EK43" s="30" t="n"/>
      <c r="EL43" s="30" t="n"/>
      <c r="EM43" s="30" t="n"/>
      <c r="EN43" s="30" t="n"/>
      <c r="EO43" s="30" t="n"/>
      <c r="EP43" s="30" t="n"/>
      <c r="EQ43" s="30" t="n"/>
      <c r="ER43" s="30" t="n"/>
      <c r="ES43" s="30" t="n"/>
      <c r="ET43" s="30" t="n"/>
      <c r="EU43" s="30" t="n"/>
      <c r="EV43" s="30" t="n"/>
      <c r="EW43" s="30" t="n"/>
      <c r="EX43" s="30" t="n"/>
      <c r="EY43" s="30" t="n"/>
      <c r="EZ43" s="30" t="n"/>
      <c r="FA43" s="30" t="n"/>
      <c r="FB43" s="30" t="n"/>
      <c r="FC43" s="30" t="n"/>
      <c r="FD43" s="30" t="n"/>
      <c r="FE43" s="30" t="n"/>
      <c r="FF43" s="30" t="n"/>
      <c r="FG43" s="30" t="n"/>
      <c r="FH43" s="30" t="n"/>
      <c r="FI43" s="30" t="n"/>
      <c r="FJ43" s="30" t="n"/>
      <c r="FK43" s="30" t="n"/>
      <c r="FL43" s="30" t="n"/>
      <c r="FM43" s="30" t="n"/>
      <c r="FN43" s="30" t="n"/>
      <c r="FO43" s="30" t="n"/>
      <c r="FP43" s="30" t="n"/>
      <c r="FQ43" s="30" t="n"/>
      <c r="FR43" s="30" t="n"/>
      <c r="FS43" s="30" t="n"/>
      <c r="FT43" s="30" t="n"/>
      <c r="FU43" s="30" t="n"/>
      <c r="FV43" s="30" t="n"/>
      <c r="FW43" s="30" t="n"/>
      <c r="FX43" s="30" t="n"/>
      <c r="FY43" s="30" t="n"/>
      <c r="FZ43" s="30" t="n"/>
      <c r="GA43" s="30" t="n"/>
      <c r="GB43" s="30" t="n"/>
      <c r="GC43" s="30" t="n"/>
      <c r="GD43" s="30" t="n"/>
      <c r="GE43" s="30" t="n"/>
      <c r="GF43" s="30" t="n"/>
      <c r="GG43" s="30" t="n"/>
      <c r="GH43" s="30" t="n"/>
      <c r="GI43" s="30" t="n"/>
      <c r="GJ43" s="30" t="n"/>
      <c r="GK43" s="30" t="n"/>
      <c r="GL43" s="30" t="n"/>
      <c r="GM43" s="30" t="n"/>
      <c r="GN43" s="30" t="n"/>
      <c r="GO43" s="30" t="n"/>
      <c r="GP43" s="30" t="n"/>
    </row>
    <row r="44" customFormat="1" s="7">
      <c r="B44" s="22">
        <f>IF(#REF!=0,"",#REF!)</f>
        <v/>
      </c>
      <c r="C44" s="17">
        <f>IF(COUNTIF(#REF!,"OK")+COUNTIF(#REF!,"NOK")+COUNTIF(#REF!,"PDTE")+COUNTIF(#REF!,"N/A")=0,"",COUNTIF(#REF!,"OK")+COUNTIF(#REF!,"NOK")+COUNTIF(#REF!,"PDTE")+COUNTIF(#REF!,"N/A"))</f>
        <v/>
      </c>
      <c r="D44" s="10" t="n"/>
      <c r="E44" s="10" t="n"/>
      <c r="F44" s="10" t="n"/>
      <c r="G44" s="17">
        <f>IF(COUNTIF(#REF!,"N/A")=0,"",COUNTIF(#REF!,"N/A"))</f>
        <v/>
      </c>
      <c r="H44" s="17">
        <f>IF(COUNTIF(#REF!,"OK")+COUNTIF(#REF!,"NOK")=0,"",COUNTIF(#REF!,"OK")+COUNTIF(#REF!,"NOK"))</f>
        <v/>
      </c>
      <c r="I44" s="6">
        <f>IF(OR(C44=" ",OR(H44="",H44=0)),"",H44/C44)</f>
        <v/>
      </c>
      <c r="J44" s="23">
        <f>IF(COUNTIF(#REF!,"OK")=0,"",COUNTIF(#REF!,"OK"))</f>
        <v/>
      </c>
      <c r="K44" s="6">
        <f>IF(OR(C44=" ",OR(J44="",J44=0)),"",J44/C44)</f>
        <v/>
      </c>
      <c r="L44" s="23">
        <f>IF(COUNTIF(#REF!,"NOK")=0,"",COUNTIF(#REF!,"NOK"))</f>
        <v/>
      </c>
      <c r="M44" s="6">
        <f>IF(OR(C44=" ",OR(L44="",L44=0)),"",L44/C44)</f>
        <v/>
      </c>
      <c r="N44" s="23">
        <f>IF(COUNTIF(#REF!,"PDTE")=0,"",COUNTIF(#REF!,"PDTE"))</f>
        <v/>
      </c>
      <c r="O44" s="6">
        <f>IF(OR(C44=" ",OR(N44="",N44=0)),"",N44/C44)</f>
        <v/>
      </c>
      <c r="P44" s="6">
        <f>IF(OR(H44=0,H44=""),"",SUM(J44)/H44)</f>
        <v/>
      </c>
      <c r="Q44" s="6">
        <f>IF(OR(H44=0,H44=""),"",SUM(D44:F44)/H44)</f>
        <v/>
      </c>
      <c r="R44" s="6">
        <f>IF(Q44="","",1-Q44)</f>
        <v/>
      </c>
      <c r="S44" s="6">
        <f>IF(OR(I44="",I44=0),"",I44)</f>
        <v/>
      </c>
      <c r="T44" s="24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  <c r="CU44" s="39" t="n"/>
      <c r="CV44" s="39" t="n"/>
      <c r="CW44" s="39" t="n"/>
      <c r="CX44" s="39" t="n"/>
      <c r="CY44" s="39" t="n"/>
      <c r="CZ44" s="39" t="n"/>
      <c r="DA44" s="39" t="n"/>
      <c r="DB44" s="39" t="n"/>
      <c r="DC44" s="39" t="n"/>
      <c r="DD44" s="39" t="n"/>
      <c r="DE44" s="39" t="n"/>
      <c r="DF44" s="39" t="n"/>
      <c r="DG44" s="39" t="n"/>
      <c r="DH44" s="39" t="n"/>
      <c r="DI44" s="39" t="n"/>
      <c r="DJ44" s="39" t="n"/>
      <c r="DK44" s="39" t="n"/>
      <c r="DL44" s="39" t="n"/>
      <c r="DM44" s="39" t="n"/>
      <c r="DN44" s="39" t="n"/>
      <c r="DO44" s="39" t="n"/>
      <c r="DP44" s="39" t="n"/>
      <c r="DQ44" s="39" t="n"/>
      <c r="DR44" s="39" t="n"/>
      <c r="DS44" s="39" t="n"/>
      <c r="DT44" s="39" t="n"/>
      <c r="DU44" s="39" t="n"/>
      <c r="DV44" s="39" t="n"/>
      <c r="DW44" s="39" t="n"/>
      <c r="DX44" s="39" t="n"/>
      <c r="DY44" s="39" t="n"/>
      <c r="DZ44" s="39" t="n"/>
      <c r="EA44" s="39" t="n"/>
      <c r="EB44" s="39" t="n"/>
      <c r="EC44" s="39" t="n"/>
      <c r="ED44" s="39" t="n"/>
      <c r="EE44" s="39" t="n"/>
      <c r="EF44" s="39" t="n"/>
      <c r="EG44" s="39" t="n"/>
      <c r="EH44" s="39" t="n"/>
      <c r="EI44" s="39" t="n"/>
      <c r="EJ44" s="39" t="n"/>
      <c r="EK44" s="39" t="n"/>
      <c r="EL44" s="39" t="n"/>
      <c r="EM44" s="39" t="n"/>
      <c r="EN44" s="39" t="n"/>
      <c r="EO44" s="39" t="n"/>
      <c r="EP44" s="39" t="n"/>
      <c r="EQ44" s="39" t="n"/>
      <c r="ER44" s="39" t="n"/>
      <c r="ES44" s="39" t="n"/>
      <c r="ET44" s="39" t="n"/>
      <c r="EU44" s="39" t="n"/>
      <c r="EV44" s="39" t="n"/>
      <c r="EW44" s="39" t="n"/>
      <c r="EX44" s="39" t="n"/>
      <c r="EY44" s="39" t="n"/>
      <c r="EZ44" s="39" t="n"/>
      <c r="FA44" s="39" t="n"/>
      <c r="FB44" s="39" t="n"/>
      <c r="FC44" s="39" t="n"/>
      <c r="FD44" s="39" t="n"/>
      <c r="FE44" s="39" t="n"/>
      <c r="FF44" s="39" t="n"/>
      <c r="FG44" s="39" t="n"/>
      <c r="FH44" s="39" t="n"/>
      <c r="FI44" s="39" t="n"/>
      <c r="FJ44" s="39" t="n"/>
      <c r="FK44" s="39" t="n"/>
      <c r="FL44" s="39" t="n"/>
      <c r="FM44" s="39" t="n"/>
      <c r="FN44" s="39" t="n"/>
      <c r="FO44" s="39" t="n"/>
      <c r="FP44" s="39" t="n"/>
      <c r="FQ44" s="39" t="n"/>
      <c r="FR44" s="39" t="n"/>
      <c r="FS44" s="39" t="n"/>
      <c r="FT44" s="39" t="n"/>
      <c r="FU44" s="39" t="n"/>
      <c r="FV44" s="39" t="n"/>
      <c r="FW44" s="39" t="n"/>
      <c r="FX44" s="39" t="n"/>
      <c r="FY44" s="39" t="n"/>
      <c r="FZ44" s="39" t="n"/>
      <c r="GA44" s="39" t="n"/>
      <c r="GB44" s="39" t="n"/>
      <c r="GC44" s="39" t="n"/>
      <c r="GD44" s="39" t="n"/>
      <c r="GE44" s="39" t="n"/>
      <c r="GF44" s="39" t="n"/>
      <c r="GG44" s="39" t="n"/>
      <c r="GH44" s="39" t="n"/>
      <c r="GI44" s="39" t="n"/>
      <c r="GJ44" s="39" t="n"/>
      <c r="GK44" s="39" t="n"/>
      <c r="GL44" s="39" t="n"/>
      <c r="GM44" s="39" t="n"/>
      <c r="GN44" s="39" t="n"/>
      <c r="GO44" s="39" t="n"/>
      <c r="GP44" s="39" t="n"/>
    </row>
    <row r="45" customFormat="1" s="7">
      <c r="B45" s="2" t="n"/>
      <c r="C45" s="4" t="n"/>
      <c r="D45" s="4" t="n"/>
      <c r="E45" s="4" t="n"/>
      <c r="F45" s="4" t="n"/>
      <c r="G45" s="4" t="n"/>
      <c r="H45" s="4" t="n"/>
      <c r="I45" s="6">
        <f>IF(OR(C45=" ",OR(H45="",H45=0)),"",H45/C45)</f>
        <v/>
      </c>
      <c r="J45" s="12" t="n"/>
      <c r="K45" s="6">
        <f>IF(OR(C45=" ",OR(J45="",J45=0)),"",J45/C45)</f>
        <v/>
      </c>
      <c r="L45" s="12" t="n"/>
      <c r="M45" s="6">
        <f>IF(OR(C45=" ",OR(L45="",L45=0)),"",L45/C45)</f>
        <v/>
      </c>
      <c r="N45" s="11" t="n"/>
      <c r="O45" s="6">
        <f>IF(OR(C45=" ",OR(N45="",N45=0)),"",N45/C45)</f>
        <v/>
      </c>
      <c r="P45" s="6">
        <f>IF(OR(H45=0,H45=""),"",J45/H45)</f>
        <v/>
      </c>
      <c r="Q45" s="6">
        <f>IF(OR(H45=0,H45=""),"",SUM(D45:E45)/H45)</f>
        <v/>
      </c>
      <c r="R45" s="6">
        <f>IF(Q45="","",1-Q45)</f>
        <v/>
      </c>
      <c r="S45" s="6">
        <f>IF(OR(I45="",I45=0),"",I45)</f>
        <v/>
      </c>
      <c r="T45" s="13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  <c r="CU45" s="39" t="n"/>
      <c r="CV45" s="39" t="n"/>
      <c r="CW45" s="39" t="n"/>
      <c r="CX45" s="39" t="n"/>
      <c r="CY45" s="39" t="n"/>
      <c r="CZ45" s="39" t="n"/>
      <c r="DA45" s="39" t="n"/>
      <c r="DB45" s="39" t="n"/>
      <c r="DC45" s="39" t="n"/>
      <c r="DD45" s="39" t="n"/>
      <c r="DE45" s="39" t="n"/>
      <c r="DF45" s="39" t="n"/>
      <c r="DG45" s="39" t="n"/>
      <c r="DH45" s="39" t="n"/>
      <c r="DI45" s="39" t="n"/>
      <c r="DJ45" s="39" t="n"/>
      <c r="DK45" s="39" t="n"/>
      <c r="DL45" s="39" t="n"/>
      <c r="DM45" s="39" t="n"/>
      <c r="DN45" s="39" t="n"/>
      <c r="DO45" s="39" t="n"/>
      <c r="DP45" s="39" t="n"/>
      <c r="DQ45" s="39" t="n"/>
      <c r="DR45" s="39" t="n"/>
      <c r="DS45" s="39" t="n"/>
      <c r="DT45" s="39" t="n"/>
      <c r="DU45" s="39" t="n"/>
      <c r="DV45" s="39" t="n"/>
      <c r="DW45" s="39" t="n"/>
      <c r="DX45" s="39" t="n"/>
      <c r="DY45" s="39" t="n"/>
      <c r="DZ45" s="39" t="n"/>
      <c r="EA45" s="39" t="n"/>
      <c r="EB45" s="39" t="n"/>
      <c r="EC45" s="39" t="n"/>
      <c r="ED45" s="39" t="n"/>
      <c r="EE45" s="39" t="n"/>
      <c r="EF45" s="39" t="n"/>
      <c r="EG45" s="39" t="n"/>
      <c r="EH45" s="39" t="n"/>
      <c r="EI45" s="39" t="n"/>
      <c r="EJ45" s="39" t="n"/>
      <c r="EK45" s="39" t="n"/>
      <c r="EL45" s="39" t="n"/>
      <c r="EM45" s="39" t="n"/>
      <c r="EN45" s="39" t="n"/>
      <c r="EO45" s="39" t="n"/>
      <c r="EP45" s="39" t="n"/>
      <c r="EQ45" s="39" t="n"/>
      <c r="ER45" s="39" t="n"/>
      <c r="ES45" s="39" t="n"/>
      <c r="ET45" s="39" t="n"/>
      <c r="EU45" s="39" t="n"/>
      <c r="EV45" s="39" t="n"/>
      <c r="EW45" s="39" t="n"/>
      <c r="EX45" s="39" t="n"/>
      <c r="EY45" s="39" t="n"/>
      <c r="EZ45" s="39" t="n"/>
      <c r="FA45" s="39" t="n"/>
      <c r="FB45" s="39" t="n"/>
      <c r="FC45" s="39" t="n"/>
      <c r="FD45" s="39" t="n"/>
      <c r="FE45" s="39" t="n"/>
      <c r="FF45" s="39" t="n"/>
      <c r="FG45" s="39" t="n"/>
      <c r="FH45" s="39" t="n"/>
      <c r="FI45" s="39" t="n"/>
      <c r="FJ45" s="39" t="n"/>
      <c r="FK45" s="39" t="n"/>
      <c r="FL45" s="39" t="n"/>
      <c r="FM45" s="39" t="n"/>
      <c r="FN45" s="39" t="n"/>
      <c r="FO45" s="39" t="n"/>
      <c r="FP45" s="39" t="n"/>
      <c r="FQ45" s="39" t="n"/>
      <c r="FR45" s="39" t="n"/>
      <c r="FS45" s="39" t="n"/>
      <c r="FT45" s="39" t="n"/>
      <c r="FU45" s="39" t="n"/>
      <c r="FV45" s="39" t="n"/>
      <c r="FW45" s="39" t="n"/>
      <c r="FX45" s="39" t="n"/>
      <c r="FY45" s="39" t="n"/>
      <c r="FZ45" s="39" t="n"/>
      <c r="GA45" s="39" t="n"/>
      <c r="GB45" s="39" t="n"/>
      <c r="GC45" s="39" t="n"/>
      <c r="GD45" s="39" t="n"/>
      <c r="GE45" s="39" t="n"/>
      <c r="GF45" s="39" t="n"/>
      <c r="GG45" s="39" t="n"/>
      <c r="GH45" s="39" t="n"/>
      <c r="GI45" s="39" t="n"/>
      <c r="GJ45" s="39" t="n"/>
      <c r="GK45" s="39" t="n"/>
      <c r="GL45" s="39" t="n"/>
      <c r="GM45" s="39" t="n"/>
      <c r="GN45" s="39" t="n"/>
      <c r="GO45" s="39" t="n"/>
      <c r="GP45" s="39" t="n"/>
    </row>
    <row r="46" customFormat="1" s="7">
      <c r="B46" s="2" t="n"/>
      <c r="C46" s="4" t="n"/>
      <c r="D46" s="4" t="n"/>
      <c r="E46" s="4" t="n"/>
      <c r="F46" s="4" t="n"/>
      <c r="G46" s="4" t="n"/>
      <c r="H46" s="4" t="n"/>
      <c r="I46" s="6">
        <f>IF(OR(C46=" ",OR(H46="",H46=0)),"",H46/C46)</f>
        <v/>
      </c>
      <c r="J46" s="12" t="n"/>
      <c r="K46" s="6">
        <f>IF(OR(C46=" ",OR(J46="",J46=0)),"",J46/C46)</f>
        <v/>
      </c>
      <c r="L46" s="12" t="n"/>
      <c r="M46" s="6">
        <f>IF(OR(C46=" ",OR(L46="",L46=0)),"",L46/C46)</f>
        <v/>
      </c>
      <c r="N46" s="11" t="n"/>
      <c r="O46" s="6">
        <f>IF(OR(C46=" ",OR(N46="",N46=0)),"",N46/C46)</f>
        <v/>
      </c>
      <c r="P46" s="6">
        <f>IF(OR(H46=0,H46=""),"",J46/H46)</f>
        <v/>
      </c>
      <c r="Q46" s="6">
        <f>IF(OR(H46=0,H46=""),"",SUM(D46:E46)/H46)</f>
        <v/>
      </c>
      <c r="R46" s="6">
        <f>IF(Q46="","",1-Q46)</f>
        <v/>
      </c>
      <c r="S46" s="6">
        <f>IF(OR(I46="",I46=0),"",I46)</f>
        <v/>
      </c>
      <c r="T46" s="13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  <c r="CZ46" s="39" t="n"/>
      <c r="DA46" s="39" t="n"/>
      <c r="DB46" s="39" t="n"/>
      <c r="DC46" s="39" t="n"/>
      <c r="DD46" s="39" t="n"/>
      <c r="DE46" s="39" t="n"/>
      <c r="DF46" s="39" t="n"/>
      <c r="DG46" s="39" t="n"/>
      <c r="DH46" s="39" t="n"/>
      <c r="DI46" s="39" t="n"/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39" t="n"/>
      <c r="DX46" s="39" t="n"/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39" t="n"/>
      <c r="EU46" s="39" t="n"/>
      <c r="EV46" s="39" t="n"/>
      <c r="EW46" s="39" t="n"/>
      <c r="EX46" s="39" t="n"/>
      <c r="EY46" s="39" t="n"/>
      <c r="EZ46" s="39" t="n"/>
      <c r="FA46" s="39" t="n"/>
      <c r="FB46" s="39" t="n"/>
      <c r="FC46" s="39" t="n"/>
      <c r="FD46" s="39" t="n"/>
      <c r="FE46" s="39" t="n"/>
      <c r="FF46" s="39" t="n"/>
      <c r="FG46" s="39" t="n"/>
      <c r="FH46" s="39" t="n"/>
      <c r="FI46" s="39" t="n"/>
      <c r="FJ46" s="39" t="n"/>
      <c r="FK46" s="39" t="n"/>
      <c r="FL46" s="39" t="n"/>
      <c r="FM46" s="39" t="n"/>
      <c r="FN46" s="39" t="n"/>
      <c r="FO46" s="39" t="n"/>
      <c r="FP46" s="39" t="n"/>
      <c r="FQ46" s="39" t="n"/>
      <c r="FR46" s="39" t="n"/>
      <c r="FS46" s="39" t="n"/>
      <c r="FT46" s="39" t="n"/>
      <c r="FU46" s="39" t="n"/>
      <c r="FV46" s="39" t="n"/>
      <c r="FW46" s="39" t="n"/>
      <c r="FX46" s="39" t="n"/>
      <c r="FY46" s="39" t="n"/>
      <c r="FZ46" s="39" t="n"/>
      <c r="GA46" s="39" t="n"/>
      <c r="GB46" s="39" t="n"/>
      <c r="GC46" s="39" t="n"/>
      <c r="GD46" s="39" t="n"/>
      <c r="GE46" s="39" t="n"/>
      <c r="GF46" s="39" t="n"/>
      <c r="GG46" s="39" t="n"/>
      <c r="GH46" s="39" t="n"/>
      <c r="GI46" s="39" t="n"/>
      <c r="GJ46" s="39" t="n"/>
      <c r="GK46" s="39" t="n"/>
      <c r="GL46" s="39" t="n"/>
      <c r="GM46" s="39" t="n"/>
      <c r="GN46" s="39" t="n"/>
      <c r="GO46" s="39" t="n"/>
      <c r="GP46" s="39" t="n"/>
    </row>
    <row r="47" ht="14.4" customHeight="1" thickBot="1">
      <c r="B47" s="14" t="inlineStr">
        <is>
          <t>Total</t>
        </is>
      </c>
      <c r="C47" s="15">
        <f>IF(OR(C44=0,C44=""),"",SUM(C44:C46))</f>
        <v/>
      </c>
      <c r="D47" s="15">
        <f>IF(OR(D44=0,D44=""),"",SUM(D44:D46))</f>
        <v/>
      </c>
      <c r="E47" s="15">
        <f>IF(OR(E44=0,E44=""),"",SUM(E44:E46))</f>
        <v/>
      </c>
      <c r="F47" s="15">
        <f>IF(OR(F44=0,F44=""),"",SUM(F44:F46))</f>
        <v/>
      </c>
      <c r="G47" s="15">
        <f>IF(OR(G44=0,G44=""),"",SUM(G44:G46))</f>
        <v/>
      </c>
      <c r="H47" s="15">
        <f>IF(OR(H44=0,H44=""),"",SUM(H44:H46))</f>
        <v/>
      </c>
      <c r="I47" s="1">
        <f>IF(OR(H47=0,H47=""),"",AVERAGE(I44:I46))</f>
        <v/>
      </c>
      <c r="J47" s="15">
        <f>IF(OR(J44=0,J44=""),"",SUM(J44:J46))</f>
        <v/>
      </c>
      <c r="K47" s="1">
        <f>IF(OR(J47=0,J47=""),"",AVERAGE(K44:K46))</f>
        <v/>
      </c>
      <c r="L47" s="15">
        <f>IF(OR(L44=0,L44=""),"",SUM(L44:L46))</f>
        <v/>
      </c>
      <c r="M47" s="1">
        <f>IF(OR(L47=0,L47=""),"",AVERAGE(M44:M46))</f>
        <v/>
      </c>
      <c r="N47" s="15">
        <f>IF(OR(N44=0,N44=""),"",SUM(N44:N46))</f>
        <v/>
      </c>
      <c r="O47" s="1">
        <f>IF(OR(N47=0,N47=""),"",AVERAGE(O44:O46))</f>
        <v/>
      </c>
      <c r="P47" s="1">
        <f>IF(OR(P44=""),"",AVERAGE(P44:P46))</f>
        <v/>
      </c>
      <c r="Q47" s="1">
        <f>IF(OR(Q44=""),"",AVERAGE(Q44:Q46))</f>
        <v/>
      </c>
      <c r="R47" s="1">
        <f>IF(OR(R44=0,R44=""),"",AVERAGE(R44:R46))</f>
        <v/>
      </c>
      <c r="S47" s="1">
        <f>IF(OR(S44=0,S44=""),"",AVERAGE(S44:S46))</f>
        <v/>
      </c>
      <c r="T47" s="25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30" t="n"/>
      <c r="AP47" s="30" t="n"/>
      <c r="AQ47" s="30" t="n"/>
      <c r="AR47" s="30" t="n"/>
      <c r="AS47" s="30" t="n"/>
      <c r="AT47" s="30" t="n"/>
      <c r="AU47" s="30" t="n"/>
      <c r="AV47" s="30" t="n"/>
      <c r="AW47" s="30" t="n"/>
      <c r="AX47" s="30" t="n"/>
      <c r="AY47" s="30" t="n"/>
      <c r="AZ47" s="30" t="n"/>
      <c r="BA47" s="30" t="n"/>
      <c r="BB47" s="30" t="n"/>
      <c r="BC47" s="30" t="n"/>
      <c r="BD47" s="30" t="n"/>
      <c r="BE47" s="30" t="n"/>
      <c r="BF47" s="30" t="n"/>
      <c r="BG47" s="30" t="n"/>
      <c r="BH47" s="30" t="n"/>
      <c r="BI47" s="30" t="n"/>
      <c r="BJ47" s="30" t="n"/>
      <c r="BK47" s="30" t="n"/>
      <c r="BL47" s="30" t="n"/>
      <c r="BM47" s="30" t="n"/>
      <c r="BN47" s="30" t="n"/>
      <c r="BO47" s="30" t="n"/>
      <c r="BP47" s="30" t="n"/>
      <c r="BQ47" s="30" t="n"/>
      <c r="BR47" s="30" t="n"/>
      <c r="BS47" s="30" t="n"/>
      <c r="BT47" s="30" t="n"/>
      <c r="BU47" s="30" t="n"/>
      <c r="BV47" s="30" t="n"/>
      <c r="BW47" s="30" t="n"/>
      <c r="BX47" s="30" t="n"/>
      <c r="BY47" s="30" t="n"/>
      <c r="BZ47" s="30" t="n"/>
      <c r="CA47" s="30" t="n"/>
      <c r="CB47" s="30" t="n"/>
      <c r="CC47" s="30" t="n"/>
      <c r="CD47" s="30" t="n"/>
      <c r="CE47" s="30" t="n"/>
      <c r="CF47" s="30" t="n"/>
      <c r="CG47" s="30" t="n"/>
      <c r="CH47" s="30" t="n"/>
      <c r="CI47" s="30" t="n"/>
      <c r="CJ47" s="30" t="n"/>
      <c r="CK47" s="30" t="n"/>
      <c r="CL47" s="30" t="n"/>
      <c r="CM47" s="30" t="n"/>
      <c r="CN47" s="30" t="n"/>
      <c r="CO47" s="30" t="n"/>
      <c r="CP47" s="30" t="n"/>
      <c r="CQ47" s="30" t="n"/>
      <c r="CR47" s="30" t="n"/>
      <c r="CS47" s="30" t="n"/>
      <c r="CT47" s="30" t="n"/>
      <c r="CU47" s="30" t="n"/>
      <c r="CV47" s="30" t="n"/>
      <c r="CW47" s="30" t="n"/>
      <c r="CX47" s="30" t="n"/>
      <c r="CY47" s="30" t="n"/>
      <c r="CZ47" s="30" t="n"/>
      <c r="DA47" s="30" t="n"/>
      <c r="DB47" s="30" t="n"/>
      <c r="DC47" s="30" t="n"/>
      <c r="DD47" s="30" t="n"/>
      <c r="DE47" s="30" t="n"/>
      <c r="DF47" s="30" t="n"/>
      <c r="DG47" s="30" t="n"/>
      <c r="DH47" s="30" t="n"/>
      <c r="DI47" s="30" t="n"/>
      <c r="DJ47" s="30" t="n"/>
      <c r="DK47" s="30" t="n"/>
      <c r="DL47" s="30" t="n"/>
      <c r="DM47" s="30" t="n"/>
      <c r="DN47" s="30" t="n"/>
      <c r="DO47" s="30" t="n"/>
      <c r="DP47" s="30" t="n"/>
      <c r="DQ47" s="30" t="n"/>
      <c r="DR47" s="30" t="n"/>
      <c r="DS47" s="30" t="n"/>
      <c r="DT47" s="30" t="n"/>
      <c r="DU47" s="30" t="n"/>
      <c r="DV47" s="30" t="n"/>
      <c r="DW47" s="30" t="n"/>
      <c r="DX47" s="30" t="n"/>
      <c r="DY47" s="30" t="n"/>
      <c r="DZ47" s="30" t="n"/>
      <c r="EA47" s="30" t="n"/>
      <c r="EB47" s="30" t="n"/>
      <c r="EC47" s="30" t="n"/>
      <c r="ED47" s="30" t="n"/>
      <c r="EE47" s="30" t="n"/>
      <c r="EF47" s="30" t="n"/>
      <c r="EG47" s="30" t="n"/>
      <c r="EH47" s="30" t="n"/>
      <c r="EI47" s="30" t="n"/>
      <c r="EJ47" s="30" t="n"/>
      <c r="EK47" s="30" t="n"/>
      <c r="EL47" s="30" t="n"/>
      <c r="EM47" s="30" t="n"/>
      <c r="EN47" s="30" t="n"/>
      <c r="EO47" s="30" t="n"/>
      <c r="EP47" s="30" t="n"/>
      <c r="EQ47" s="30" t="n"/>
      <c r="ER47" s="30" t="n"/>
      <c r="ES47" s="30" t="n"/>
      <c r="ET47" s="30" t="n"/>
      <c r="EU47" s="30" t="n"/>
      <c r="EV47" s="30" t="n"/>
      <c r="EW47" s="30" t="n"/>
      <c r="EX47" s="30" t="n"/>
      <c r="EY47" s="30" t="n"/>
      <c r="EZ47" s="30" t="n"/>
      <c r="FA47" s="30" t="n"/>
      <c r="FB47" s="30" t="n"/>
      <c r="FC47" s="30" t="n"/>
      <c r="FD47" s="30" t="n"/>
      <c r="FE47" s="30" t="n"/>
      <c r="FF47" s="30" t="n"/>
      <c r="FG47" s="30" t="n"/>
      <c r="FH47" s="30" t="n"/>
      <c r="FI47" s="30" t="n"/>
      <c r="FJ47" s="30" t="n"/>
      <c r="FK47" s="30" t="n"/>
      <c r="FL47" s="30" t="n"/>
      <c r="FM47" s="30" t="n"/>
      <c r="FN47" s="30" t="n"/>
      <c r="FO47" s="30" t="n"/>
      <c r="FP47" s="30" t="n"/>
      <c r="FQ47" s="30" t="n"/>
      <c r="FR47" s="30" t="n"/>
      <c r="FS47" s="30" t="n"/>
      <c r="FT47" s="30" t="n"/>
      <c r="FU47" s="30" t="n"/>
      <c r="FV47" s="30" t="n"/>
      <c r="FW47" s="30" t="n"/>
      <c r="FX47" s="30" t="n"/>
      <c r="FY47" s="30" t="n"/>
      <c r="FZ47" s="30" t="n"/>
      <c r="GA47" s="30" t="n"/>
      <c r="GB47" s="30" t="n"/>
      <c r="GC47" s="30" t="n"/>
      <c r="GD47" s="30" t="n"/>
      <c r="GE47" s="30" t="n"/>
      <c r="GF47" s="30" t="n"/>
      <c r="GG47" s="30" t="n"/>
      <c r="GH47" s="30" t="n"/>
      <c r="GI47" s="30" t="n"/>
      <c r="GJ47" s="30" t="n"/>
      <c r="GK47" s="30" t="n"/>
      <c r="GL47" s="30" t="n"/>
      <c r="GM47" s="30" t="n"/>
      <c r="GN47" s="30" t="n"/>
      <c r="GO47" s="30" t="n"/>
      <c r="GP47" s="30" t="n"/>
    </row>
    <row r="48">
      <c r="B48" s="34" t="n"/>
      <c r="C48" s="35" t="n"/>
      <c r="D48" s="32" t="n"/>
      <c r="E48" s="32" t="n"/>
      <c r="F48" s="35" t="n"/>
      <c r="G48" s="32" t="n"/>
      <c r="H48" s="32" t="n"/>
      <c r="I48" s="35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3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30" t="n"/>
      <c r="AO48" s="30" t="n"/>
      <c r="AP48" s="30" t="n"/>
      <c r="AQ48" s="30" t="n"/>
      <c r="AR48" s="30" t="n"/>
      <c r="AS48" s="30" t="n"/>
      <c r="AT48" s="30" t="n"/>
      <c r="AU48" s="30" t="n"/>
      <c r="AV48" s="30" t="n"/>
      <c r="AW48" s="30" t="n"/>
      <c r="AX48" s="30" t="n"/>
      <c r="AY48" s="30" t="n"/>
      <c r="AZ48" s="30" t="n"/>
      <c r="BA48" s="30" t="n"/>
      <c r="BB48" s="30" t="n"/>
      <c r="BC48" s="30" t="n"/>
      <c r="BD48" s="30" t="n"/>
      <c r="BE48" s="30" t="n"/>
      <c r="BF48" s="30" t="n"/>
      <c r="BG48" s="30" t="n"/>
      <c r="BH48" s="30" t="n"/>
      <c r="BI48" s="30" t="n"/>
      <c r="BJ48" s="30" t="n"/>
      <c r="BK48" s="30" t="n"/>
      <c r="BL48" s="30" t="n"/>
      <c r="BM48" s="30" t="n"/>
      <c r="BN48" s="30" t="n"/>
      <c r="BO48" s="30" t="n"/>
      <c r="BP48" s="30" t="n"/>
      <c r="BQ48" s="30" t="n"/>
      <c r="BR48" s="30" t="n"/>
      <c r="BS48" s="30" t="n"/>
      <c r="BT48" s="30" t="n"/>
      <c r="BU48" s="30" t="n"/>
      <c r="BV48" s="30" t="n"/>
      <c r="BW48" s="30" t="n"/>
      <c r="BX48" s="30" t="n"/>
      <c r="BY48" s="30" t="n"/>
      <c r="BZ48" s="30" t="n"/>
      <c r="CA48" s="30" t="n"/>
      <c r="CB48" s="30" t="n"/>
      <c r="CC48" s="30" t="n"/>
      <c r="CD48" s="30" t="n"/>
      <c r="CE48" s="30" t="n"/>
      <c r="CF48" s="30" t="n"/>
      <c r="CG48" s="30" t="n"/>
      <c r="CH48" s="30" t="n"/>
      <c r="CI48" s="30" t="n"/>
      <c r="CJ48" s="30" t="n"/>
      <c r="CK48" s="30" t="n"/>
      <c r="CL48" s="30" t="n"/>
      <c r="CM48" s="30" t="n"/>
      <c r="CN48" s="30" t="n"/>
      <c r="CO48" s="30" t="n"/>
      <c r="CP48" s="30" t="n"/>
      <c r="CQ48" s="30" t="n"/>
      <c r="CR48" s="30" t="n"/>
      <c r="CS48" s="30" t="n"/>
      <c r="CT48" s="30" t="n"/>
      <c r="CU48" s="30" t="n"/>
      <c r="CV48" s="30" t="n"/>
      <c r="CW48" s="30" t="n"/>
      <c r="CX48" s="30" t="n"/>
      <c r="CY48" s="30" t="n"/>
      <c r="CZ48" s="30" t="n"/>
      <c r="DA48" s="30" t="n"/>
      <c r="DB48" s="30" t="n"/>
      <c r="DC48" s="30" t="n"/>
      <c r="DD48" s="30" t="n"/>
      <c r="DE48" s="30" t="n"/>
      <c r="DF48" s="30" t="n"/>
      <c r="DG48" s="30" t="n"/>
      <c r="DH48" s="30" t="n"/>
      <c r="DI48" s="30" t="n"/>
      <c r="DJ48" s="30" t="n"/>
      <c r="DK48" s="30" t="n"/>
      <c r="DL48" s="30" t="n"/>
      <c r="DM48" s="30" t="n"/>
      <c r="DN48" s="30" t="n"/>
      <c r="DO48" s="30" t="n"/>
      <c r="DP48" s="30" t="n"/>
      <c r="DQ48" s="30" t="n"/>
      <c r="DR48" s="30" t="n"/>
      <c r="DS48" s="30" t="n"/>
      <c r="DT48" s="30" t="n"/>
      <c r="DU48" s="30" t="n"/>
      <c r="DV48" s="30" t="n"/>
      <c r="DW48" s="30" t="n"/>
      <c r="DX48" s="30" t="n"/>
      <c r="DY48" s="30" t="n"/>
      <c r="DZ48" s="30" t="n"/>
      <c r="EA48" s="30" t="n"/>
      <c r="EB48" s="30" t="n"/>
      <c r="EC48" s="30" t="n"/>
      <c r="ED48" s="30" t="n"/>
      <c r="EE48" s="30" t="n"/>
      <c r="EF48" s="30" t="n"/>
      <c r="EG48" s="30" t="n"/>
      <c r="EH48" s="30" t="n"/>
      <c r="EI48" s="30" t="n"/>
      <c r="EJ48" s="30" t="n"/>
      <c r="EK48" s="30" t="n"/>
      <c r="EL48" s="30" t="n"/>
      <c r="EM48" s="30" t="n"/>
      <c r="EN48" s="30" t="n"/>
      <c r="EO48" s="30" t="n"/>
      <c r="EP48" s="30" t="n"/>
      <c r="EQ48" s="30" t="n"/>
      <c r="ER48" s="30" t="n"/>
      <c r="ES48" s="30" t="n"/>
      <c r="ET48" s="30" t="n"/>
      <c r="EU48" s="30" t="n"/>
      <c r="EV48" s="30" t="n"/>
      <c r="EW48" s="30" t="n"/>
      <c r="EX48" s="30" t="n"/>
      <c r="EY48" s="30" t="n"/>
      <c r="EZ48" s="30" t="n"/>
      <c r="FA48" s="30" t="n"/>
      <c r="FB48" s="30" t="n"/>
      <c r="FC48" s="30" t="n"/>
      <c r="FD48" s="30" t="n"/>
      <c r="FE48" s="30" t="n"/>
      <c r="FF48" s="30" t="n"/>
      <c r="FG48" s="30" t="n"/>
      <c r="FH48" s="30" t="n"/>
      <c r="FI48" s="30" t="n"/>
      <c r="FJ48" s="30" t="n"/>
      <c r="FK48" s="30" t="n"/>
      <c r="FL48" s="30" t="n"/>
      <c r="FM48" s="30" t="n"/>
      <c r="FN48" s="30" t="n"/>
      <c r="FO48" s="30" t="n"/>
      <c r="FP48" s="30" t="n"/>
      <c r="FQ48" s="30" t="n"/>
      <c r="FR48" s="30" t="n"/>
      <c r="FS48" s="30" t="n"/>
      <c r="FT48" s="30" t="n"/>
      <c r="FU48" s="30" t="n"/>
      <c r="FV48" s="30" t="n"/>
      <c r="FW48" s="30" t="n"/>
      <c r="FX48" s="30" t="n"/>
      <c r="FY48" s="30" t="n"/>
      <c r="FZ48" s="30" t="n"/>
      <c r="GA48" s="30" t="n"/>
      <c r="GB48" s="30" t="n"/>
      <c r="GC48" s="30" t="n"/>
      <c r="GD48" s="30" t="n"/>
      <c r="GE48" s="30" t="n"/>
      <c r="GF48" s="30" t="n"/>
      <c r="GG48" s="30" t="n"/>
      <c r="GH48" s="30" t="n"/>
      <c r="GI48" s="30" t="n"/>
      <c r="GJ48" s="30" t="n"/>
      <c r="GK48" s="30" t="n"/>
      <c r="GL48" s="30" t="n"/>
      <c r="GM48" s="30" t="n"/>
      <c r="GN48" s="30" t="n"/>
      <c r="GO48" s="30" t="n"/>
      <c r="GP48" s="30" t="n"/>
    </row>
    <row r="49" ht="13.8" customHeight="1" thickBot="1">
      <c r="B49" s="36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7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  <c r="BB49" s="30" t="n"/>
      <c r="BC49" s="30" t="n"/>
      <c r="BD49" s="30" t="n"/>
      <c r="BE49" s="30" t="n"/>
      <c r="BF49" s="30" t="n"/>
      <c r="BG49" s="30" t="n"/>
      <c r="BH49" s="30" t="n"/>
      <c r="BI49" s="30" t="n"/>
      <c r="BJ49" s="30" t="n"/>
      <c r="BK49" s="30" t="n"/>
      <c r="BL49" s="30" t="n"/>
      <c r="BM49" s="30" t="n"/>
      <c r="BN49" s="30" t="n"/>
      <c r="BO49" s="30" t="n"/>
      <c r="BP49" s="30" t="n"/>
      <c r="BQ49" s="30" t="n"/>
      <c r="BR49" s="30" t="n"/>
      <c r="BS49" s="30" t="n"/>
      <c r="BT49" s="30" t="n"/>
      <c r="BU49" s="30" t="n"/>
      <c r="BV49" s="30" t="n"/>
      <c r="BW49" s="30" t="n"/>
      <c r="BX49" s="30" t="n"/>
      <c r="BY49" s="30" t="n"/>
      <c r="BZ49" s="30" t="n"/>
      <c r="CA49" s="30" t="n"/>
      <c r="CB49" s="30" t="n"/>
      <c r="CC49" s="30" t="n"/>
      <c r="CD49" s="30" t="n"/>
      <c r="CE49" s="30" t="n"/>
      <c r="CF49" s="30" t="n"/>
      <c r="CG49" s="30" t="n"/>
      <c r="CH49" s="30" t="n"/>
      <c r="CI49" s="30" t="n"/>
      <c r="CJ49" s="30" t="n"/>
      <c r="CK49" s="30" t="n"/>
      <c r="CL49" s="30" t="n"/>
      <c r="CM49" s="30" t="n"/>
      <c r="CN49" s="30" t="n"/>
      <c r="CO49" s="30" t="n"/>
      <c r="CP49" s="30" t="n"/>
      <c r="CQ49" s="30" t="n"/>
      <c r="CR49" s="30" t="n"/>
      <c r="CS49" s="30" t="n"/>
      <c r="CT49" s="30" t="n"/>
      <c r="CU49" s="30" t="n"/>
      <c r="CV49" s="30" t="n"/>
      <c r="CW49" s="30" t="n"/>
      <c r="CX49" s="30" t="n"/>
      <c r="CY49" s="30" t="n"/>
      <c r="CZ49" s="30" t="n"/>
      <c r="DA49" s="30" t="n"/>
      <c r="DB49" s="30" t="n"/>
      <c r="DC49" s="30" t="n"/>
      <c r="DD49" s="30" t="n"/>
      <c r="DE49" s="30" t="n"/>
      <c r="DF49" s="30" t="n"/>
      <c r="DG49" s="30" t="n"/>
      <c r="DH49" s="30" t="n"/>
      <c r="DI49" s="30" t="n"/>
      <c r="DJ49" s="30" t="n"/>
      <c r="DK49" s="30" t="n"/>
      <c r="DL49" s="30" t="n"/>
      <c r="DM49" s="30" t="n"/>
      <c r="DN49" s="30" t="n"/>
      <c r="DO49" s="30" t="n"/>
      <c r="DP49" s="30" t="n"/>
      <c r="DQ49" s="30" t="n"/>
      <c r="DR49" s="30" t="n"/>
      <c r="DS49" s="30" t="n"/>
      <c r="DT49" s="30" t="n"/>
      <c r="DU49" s="30" t="n"/>
      <c r="DV49" s="30" t="n"/>
      <c r="DW49" s="30" t="n"/>
      <c r="DX49" s="30" t="n"/>
      <c r="DY49" s="30" t="n"/>
      <c r="DZ49" s="30" t="n"/>
      <c r="EA49" s="30" t="n"/>
      <c r="EB49" s="30" t="n"/>
      <c r="EC49" s="30" t="n"/>
      <c r="ED49" s="30" t="n"/>
      <c r="EE49" s="30" t="n"/>
      <c r="EF49" s="30" t="n"/>
      <c r="EG49" s="30" t="n"/>
      <c r="EH49" s="30" t="n"/>
      <c r="EI49" s="30" t="n"/>
      <c r="EJ49" s="30" t="n"/>
      <c r="EK49" s="30" t="n"/>
      <c r="EL49" s="30" t="n"/>
      <c r="EM49" s="30" t="n"/>
      <c r="EN49" s="30" t="n"/>
      <c r="EO49" s="30" t="n"/>
      <c r="EP49" s="30" t="n"/>
      <c r="EQ49" s="30" t="n"/>
      <c r="ER49" s="30" t="n"/>
      <c r="ES49" s="30" t="n"/>
      <c r="ET49" s="30" t="n"/>
      <c r="EU49" s="30" t="n"/>
      <c r="EV49" s="30" t="n"/>
      <c r="EW49" s="30" t="n"/>
      <c r="EX49" s="30" t="n"/>
      <c r="EY49" s="30" t="n"/>
      <c r="EZ49" s="30" t="n"/>
      <c r="FA49" s="30" t="n"/>
      <c r="FB49" s="30" t="n"/>
      <c r="FC49" s="30" t="n"/>
      <c r="FD49" s="30" t="n"/>
      <c r="FE49" s="30" t="n"/>
      <c r="FF49" s="30" t="n"/>
      <c r="FG49" s="30" t="n"/>
      <c r="FH49" s="30" t="n"/>
      <c r="FI49" s="30" t="n"/>
      <c r="FJ49" s="30" t="n"/>
      <c r="FK49" s="30" t="n"/>
      <c r="FL49" s="30" t="n"/>
      <c r="FM49" s="30" t="n"/>
      <c r="FN49" s="30" t="n"/>
      <c r="FO49" s="30" t="n"/>
      <c r="FP49" s="30" t="n"/>
      <c r="FQ49" s="30" t="n"/>
      <c r="FR49" s="30" t="n"/>
      <c r="FS49" s="30" t="n"/>
      <c r="FT49" s="30" t="n"/>
      <c r="FU49" s="30" t="n"/>
      <c r="FV49" s="30" t="n"/>
      <c r="FW49" s="30" t="n"/>
      <c r="FX49" s="30" t="n"/>
      <c r="FY49" s="30" t="n"/>
      <c r="FZ49" s="30" t="n"/>
      <c r="GA49" s="30" t="n"/>
      <c r="GB49" s="30" t="n"/>
      <c r="GC49" s="30" t="n"/>
      <c r="GD49" s="30" t="n"/>
      <c r="GE49" s="30" t="n"/>
      <c r="GF49" s="30" t="n"/>
      <c r="GG49" s="30" t="n"/>
      <c r="GH49" s="30" t="n"/>
      <c r="GI49" s="30" t="n"/>
      <c r="GJ49" s="30" t="n"/>
      <c r="GK49" s="30" t="n"/>
      <c r="GL49" s="30" t="n"/>
      <c r="GM49" s="30" t="n"/>
      <c r="GN49" s="30" t="n"/>
      <c r="GO49" s="30" t="n"/>
      <c r="GP49" s="30" t="n"/>
    </row>
    <row r="50" customFormat="1" s="30"/>
    <row r="51" customFormat="1" s="30"/>
    <row r="52" customFormat="1" s="30"/>
    <row r="53" customFormat="1" s="30"/>
    <row r="54" customFormat="1" s="30"/>
    <row r="55" customFormat="1" s="30"/>
    <row r="56" customFormat="1" s="30"/>
    <row r="57" customFormat="1" s="30"/>
    <row r="58" customFormat="1" s="30"/>
    <row r="59" customFormat="1" s="30"/>
    <row r="60" customFormat="1" s="30"/>
    <row r="61" customFormat="1" s="30"/>
    <row r="62" customFormat="1" s="30"/>
    <row r="63" customFormat="1" s="30"/>
    <row r="64" customFormat="1" s="30"/>
    <row r="65" customFormat="1" s="30"/>
    <row r="66" customFormat="1" s="30"/>
    <row r="67" customFormat="1" s="30"/>
    <row r="68" customFormat="1" s="30"/>
    <row r="69" customFormat="1" s="30"/>
    <row r="70" customFormat="1" s="30"/>
    <row r="71" customFormat="1" s="30"/>
    <row r="72" customFormat="1" s="30"/>
    <row r="73" customFormat="1" s="30"/>
    <row r="74" customFormat="1" s="30"/>
    <row r="75" customFormat="1" s="30"/>
    <row r="76" customFormat="1" s="30"/>
    <row r="77" customFormat="1" s="30"/>
    <row r="78" customFormat="1" s="30"/>
    <row r="79" customFormat="1" s="30"/>
    <row r="80" customFormat="1" s="30"/>
    <row r="81" customFormat="1" s="30"/>
    <row r="82" customFormat="1" s="30"/>
    <row r="83" customFormat="1" s="30"/>
    <row r="84" customFormat="1" s="30"/>
    <row r="85" customFormat="1" s="30"/>
    <row r="86" customFormat="1" s="30"/>
    <row r="87" customFormat="1" s="30"/>
    <row r="88" customFormat="1" s="30"/>
    <row r="89" customFormat="1" s="30"/>
    <row r="90" customFormat="1" s="30"/>
    <row r="91" customFormat="1" s="30"/>
    <row r="92" customFormat="1" s="30"/>
    <row r="93" customFormat="1" s="30"/>
    <row r="94" customFormat="1" s="30"/>
    <row r="95" customFormat="1" s="30"/>
    <row r="96" customFormat="1" s="30"/>
    <row r="97" customFormat="1" s="30"/>
    <row r="98" customFormat="1" s="30"/>
    <row r="99" customFormat="1" s="30"/>
    <row r="100" customFormat="1" s="30"/>
    <row r="101" customFormat="1" s="30"/>
    <row r="102" customFormat="1" s="30"/>
    <row r="103" customFormat="1" s="30"/>
    <row r="104" customFormat="1" s="30"/>
    <row r="105" customFormat="1" s="30"/>
    <row r="106" customFormat="1" s="30"/>
    <row r="107" customFormat="1" s="30"/>
    <row r="108" customFormat="1" s="30"/>
    <row r="109" customFormat="1" s="30"/>
    <row r="110" customFormat="1" s="30"/>
    <row r="111" customFormat="1" s="30"/>
    <row r="112" customFormat="1" s="30"/>
    <row r="113" customFormat="1" s="30"/>
    <row r="114" customFormat="1" s="30"/>
    <row r="115" customFormat="1" s="30"/>
    <row r="116" customFormat="1" s="30"/>
    <row r="117" customFormat="1" s="30"/>
    <row r="118" customFormat="1" s="30"/>
    <row r="119" customFormat="1" s="30"/>
    <row r="120" customFormat="1" s="30"/>
    <row r="121" customFormat="1" s="30"/>
    <row r="122" customFormat="1" s="30"/>
    <row r="123" customFormat="1" s="30"/>
    <row r="124" customFormat="1" s="30"/>
    <row r="125" customFormat="1" s="30"/>
    <row r="126" customFormat="1" s="30"/>
    <row r="127" customFormat="1" s="30"/>
    <row r="128" customFormat="1" s="30"/>
    <row r="129" customFormat="1" s="30"/>
    <row r="130" customFormat="1" s="30"/>
    <row r="131" customFormat="1" s="30"/>
    <row r="132" customFormat="1" s="30"/>
    <row r="133" customFormat="1" s="30"/>
    <row r="134" customFormat="1" s="30"/>
    <row r="135" customFormat="1" s="30"/>
    <row r="136" customFormat="1" s="30"/>
    <row r="137" customFormat="1" s="30"/>
    <row r="138" customFormat="1" s="30"/>
    <row r="139" customFormat="1" s="30"/>
    <row r="140" customFormat="1" s="30"/>
    <row r="141" customFormat="1" s="30"/>
    <row r="142" customFormat="1" s="30"/>
    <row r="143" customFormat="1" s="30"/>
    <row r="144" customFormat="1" s="30"/>
    <row r="145" customFormat="1" s="30"/>
    <row r="146" customFormat="1" s="30"/>
    <row r="147" customFormat="1" s="30"/>
    <row r="148" customFormat="1" s="30"/>
    <row r="149" customFormat="1" s="30"/>
    <row r="150" customFormat="1" s="30"/>
    <row r="151" customFormat="1" s="30"/>
    <row r="152" customFormat="1" s="30"/>
    <row r="153" customFormat="1" s="30"/>
    <row r="154" customFormat="1" s="30"/>
    <row r="155" customFormat="1" s="30"/>
    <row r="156" customFormat="1" s="30"/>
    <row r="157" customFormat="1" s="30"/>
    <row r="158" customFormat="1" s="30"/>
    <row r="159" customFormat="1" s="30"/>
    <row r="160" customFormat="1" s="30"/>
    <row r="161" customFormat="1" s="30"/>
    <row r="162" customFormat="1" s="30"/>
    <row r="163" customFormat="1" s="30"/>
    <row r="164" customFormat="1" s="30"/>
    <row r="165" customFormat="1" s="30"/>
    <row r="166" customFormat="1" s="30"/>
    <row r="167" customFormat="1" s="30"/>
    <row r="168" customFormat="1" s="30"/>
    <row r="169" customFormat="1" s="30"/>
    <row r="170" customFormat="1" s="30"/>
    <row r="171" customFormat="1" s="30"/>
    <row r="172" customFormat="1" s="30"/>
    <row r="173" customFormat="1" s="30"/>
    <row r="174" customFormat="1" s="30"/>
    <row r="175" customFormat="1" s="30"/>
    <row r="176" customFormat="1" s="30"/>
    <row r="177" customFormat="1" s="30"/>
    <row r="178" customFormat="1" s="30"/>
    <row r="179" customFormat="1" s="30"/>
    <row r="180" customFormat="1" s="30"/>
    <row r="181" customFormat="1" s="30"/>
    <row r="182" customFormat="1" s="30"/>
    <row r="183" customFormat="1" s="30"/>
    <row r="184" customFormat="1" s="30"/>
    <row r="185" customFormat="1" s="30"/>
    <row r="186" customFormat="1" s="30"/>
    <row r="187" customFormat="1" s="30"/>
    <row r="188" customFormat="1" s="30"/>
    <row r="189" customFormat="1" s="30"/>
    <row r="190" customFormat="1" s="30"/>
    <row r="191" customFormat="1" s="30"/>
    <row r="192" customFormat="1" s="30"/>
    <row r="193" customFormat="1" s="30"/>
    <row r="194" customFormat="1" s="30"/>
    <row r="195" customFormat="1" s="30"/>
    <row r="196" customFormat="1" s="30"/>
    <row r="197" customFormat="1" s="30"/>
    <row r="198" customFormat="1" s="30"/>
    <row r="199" customFormat="1" s="30"/>
    <row r="200" customFormat="1" s="30"/>
    <row r="201" customFormat="1" s="30"/>
    <row r="202" customFormat="1" s="30"/>
    <row r="203" customFormat="1" s="30"/>
    <row r="204" customFormat="1" s="30"/>
    <row r="205" customFormat="1" s="30"/>
    <row r="206" customFormat="1" s="30"/>
    <row r="207" customFormat="1" s="30"/>
    <row r="208" customFormat="1" s="30"/>
    <row r="209" customFormat="1" s="30"/>
    <row r="210" customFormat="1" s="30"/>
    <row r="211" customFormat="1" s="30"/>
    <row r="212" customFormat="1" s="30"/>
    <row r="213" customFormat="1" s="30"/>
    <row r="214" customFormat="1" s="30"/>
    <row r="215" customFormat="1" s="30"/>
    <row r="216" customFormat="1" s="30"/>
    <row r="217" customFormat="1" s="30"/>
    <row r="218" customFormat="1" s="30"/>
    <row r="219" customFormat="1" s="30"/>
    <row r="220" customFormat="1" s="30"/>
    <row r="221" customFormat="1" s="30"/>
    <row r="222" customFormat="1" s="30"/>
    <row r="223" customFormat="1" s="30"/>
    <row r="224" customFormat="1" s="30"/>
    <row r="225" customFormat="1" s="30"/>
    <row r="226" customFormat="1" s="30"/>
    <row r="227" customFormat="1" s="30"/>
    <row r="228" customFormat="1" s="30"/>
    <row r="229" customFormat="1" s="30"/>
    <row r="230" customFormat="1" s="30"/>
    <row r="231" customFormat="1" s="30"/>
    <row r="232" customFormat="1" s="30"/>
    <row r="233" customFormat="1" s="30"/>
    <row r="234" customFormat="1" s="30"/>
    <row r="235" customFormat="1" s="30"/>
    <row r="236" customFormat="1" s="30"/>
    <row r="237" customFormat="1" s="30"/>
    <row r="238" customFormat="1" s="30"/>
    <row r="239" customFormat="1" s="30"/>
    <row r="240" customFormat="1" s="30"/>
    <row r="241" customFormat="1" s="30"/>
    <row r="242" customFormat="1" s="30"/>
    <row r="243" customFormat="1" s="30"/>
    <row r="244" customFormat="1" s="30"/>
    <row r="245" customFormat="1" s="30"/>
    <row r="246" customFormat="1" s="30"/>
    <row r="247" customFormat="1" s="30"/>
    <row r="248" customFormat="1" s="30"/>
    <row r="249" customFormat="1" s="30"/>
    <row r="250" customFormat="1" s="30"/>
    <row r="251" customFormat="1" s="30"/>
    <row r="252" customFormat="1" s="30"/>
    <row r="253" customFormat="1" s="30"/>
    <row r="254" customFormat="1" s="30"/>
    <row r="255" customFormat="1" s="30"/>
    <row r="256" customFormat="1" s="30"/>
    <row r="257" customFormat="1" s="30"/>
    <row r="258" customFormat="1" s="30"/>
    <row r="259" customFormat="1" s="30"/>
    <row r="260" customFormat="1" s="30"/>
    <row r="261" customFormat="1" s="30"/>
    <row r="262" customFormat="1" s="30"/>
    <row r="263" customFormat="1" s="30"/>
    <row r="264" customFormat="1" s="30"/>
    <row r="265" customFormat="1" s="30"/>
    <row r="266" customFormat="1" s="30"/>
    <row r="267" customFormat="1" s="30"/>
    <row r="268" customFormat="1" s="30"/>
    <row r="269" customFormat="1" s="30"/>
    <row r="270" customFormat="1" s="30"/>
    <row r="271" customFormat="1" s="30"/>
    <row r="272" customFormat="1" s="30"/>
    <row r="273" customFormat="1" s="30"/>
    <row r="274" customFormat="1" s="30"/>
    <row r="275" customFormat="1" s="30"/>
    <row r="276" customFormat="1" s="30"/>
    <row r="277" customFormat="1" s="30"/>
    <row r="278" customFormat="1" s="30"/>
    <row r="279" customFormat="1" s="30"/>
    <row r="280" customFormat="1" s="30"/>
    <row r="281" customFormat="1" s="30"/>
    <row r="282" customFormat="1" s="30"/>
    <row r="283" customFormat="1" s="30"/>
    <row r="284" customFormat="1" s="30"/>
    <row r="285" customFormat="1" s="30"/>
    <row r="286" customFormat="1" s="30"/>
    <row r="287" customFormat="1" s="30"/>
    <row r="288" customFormat="1" s="30"/>
    <row r="289" customFormat="1" s="30"/>
    <row r="290" customFormat="1" s="30"/>
    <row r="291" customFormat="1" s="30"/>
    <row r="292" customFormat="1" s="30"/>
    <row r="293" customFormat="1" s="30"/>
    <row r="294" customFormat="1" s="30"/>
    <row r="295" customFormat="1" s="30"/>
    <row r="296" customFormat="1" s="30"/>
    <row r="297" customFormat="1" s="30"/>
    <row r="298" customFormat="1" s="30"/>
    <row r="299" customFormat="1" s="30"/>
    <row r="300" customFormat="1" s="30"/>
    <row r="301" customFormat="1" s="30"/>
    <row r="302" customFormat="1" s="30"/>
    <row r="303" customFormat="1" s="30"/>
    <row r="304" customFormat="1" s="30"/>
    <row r="305" customFormat="1" s="30"/>
    <row r="306" customFormat="1" s="30"/>
    <row r="307" customFormat="1" s="30"/>
    <row r="308" customFormat="1" s="30"/>
    <row r="309" customFormat="1" s="30"/>
    <row r="310" customFormat="1" s="30"/>
    <row r="311" customFormat="1" s="30"/>
    <row r="312" customFormat="1" s="30"/>
    <row r="313" customFormat="1" s="30"/>
    <row r="314" customFormat="1" s="30"/>
    <row r="315" customFormat="1" s="30"/>
    <row r="316" customFormat="1" s="30"/>
    <row r="317" customFormat="1" s="30"/>
    <row r="318" customFormat="1" s="30"/>
    <row r="319" customFormat="1" s="30"/>
    <row r="320" customFormat="1" s="30"/>
    <row r="321" customFormat="1" s="30"/>
    <row r="322" customFormat="1" s="30"/>
    <row r="323" customFormat="1" s="30"/>
    <row r="324" customFormat="1" s="30"/>
    <row r="325" customFormat="1" s="30"/>
    <row r="326" customFormat="1" s="30"/>
    <row r="327" customFormat="1" s="30"/>
    <row r="328" customFormat="1" s="30"/>
    <row r="329" customFormat="1" s="30"/>
    <row r="330" customFormat="1" s="30"/>
    <row r="331" customFormat="1" s="30"/>
    <row r="332" customFormat="1" s="30"/>
    <row r="333" customFormat="1" s="30"/>
    <row r="334" customFormat="1" s="30"/>
    <row r="335" customFormat="1" s="30"/>
    <row r="336" customFormat="1" s="30"/>
    <row r="337" customFormat="1" s="30"/>
    <row r="338" customFormat="1" s="30"/>
    <row r="339" customFormat="1" s="30"/>
    <row r="340" customFormat="1" s="30"/>
    <row r="341" customFormat="1" s="30"/>
    <row r="342" customFormat="1" s="30"/>
    <row r="343" customFormat="1" s="30"/>
    <row r="344" customFormat="1" s="30"/>
    <row r="345" customFormat="1" s="30"/>
    <row r="346" customFormat="1" s="30"/>
    <row r="347" customFormat="1" s="30"/>
    <row r="348" customFormat="1" s="30"/>
    <row r="349" customFormat="1" s="30"/>
    <row r="350" customFormat="1" s="30"/>
    <row r="351" customFormat="1" s="30"/>
    <row r="352" customFormat="1" s="30"/>
    <row r="353" customFormat="1" s="30"/>
    <row r="354" customFormat="1" s="30"/>
    <row r="355" customFormat="1" s="30"/>
    <row r="356" customFormat="1" s="30"/>
    <row r="357" customFormat="1" s="30"/>
    <row r="358" customFormat="1" s="30"/>
    <row r="359" customFormat="1" s="30"/>
    <row r="360" customFormat="1" s="30"/>
    <row r="361" customFormat="1" s="30"/>
    <row r="362" customFormat="1" s="30"/>
    <row r="363" customFormat="1" s="30"/>
    <row r="364" customFormat="1" s="30"/>
    <row r="365" customFormat="1" s="30"/>
    <row r="366" customFormat="1" s="30"/>
    <row r="367" customFormat="1" s="30"/>
    <row r="368" customFormat="1" s="30"/>
    <row r="369" customFormat="1" s="30"/>
    <row r="370" customFormat="1" s="30"/>
    <row r="371" customFormat="1" s="30"/>
    <row r="372" customFormat="1" s="30"/>
    <row r="373" customFormat="1" s="30"/>
    <row r="374" customFormat="1" s="30"/>
    <row r="375" customFormat="1" s="30"/>
    <row r="376" customFormat="1" s="30"/>
    <row r="377" customFormat="1" s="30"/>
    <row r="378" customFormat="1" s="30"/>
    <row r="379" customFormat="1" s="30"/>
    <row r="380" customFormat="1" s="30"/>
    <row r="381" customFormat="1" s="30"/>
    <row r="382" customFormat="1" s="30"/>
    <row r="383" customFormat="1" s="30"/>
    <row r="384" customFormat="1" s="30"/>
    <row r="385" customFormat="1" s="30"/>
    <row r="386" customFormat="1" s="30"/>
    <row r="387" customFormat="1" s="30"/>
    <row r="388" customFormat="1" s="30"/>
    <row r="389" customFormat="1" s="30"/>
    <row r="390" customFormat="1" s="30"/>
    <row r="391" customFormat="1" s="30"/>
    <row r="392" customFormat="1" s="30"/>
    <row r="393" customFormat="1" s="30"/>
    <row r="394" customFormat="1" s="30"/>
    <row r="395" customFormat="1" s="30"/>
    <row r="396" customFormat="1" s="30"/>
    <row r="397" customFormat="1" s="30"/>
    <row r="398" customFormat="1" s="30"/>
    <row r="399" customFormat="1" s="30"/>
    <row r="400" customFormat="1" s="30"/>
    <row r="401" customFormat="1" s="30"/>
    <row r="402" customFormat="1" s="30"/>
    <row r="403" customFormat="1" s="30"/>
    <row r="404" customFormat="1" s="30"/>
    <row r="405" customFormat="1" s="30"/>
    <row r="406" customFormat="1" s="30"/>
    <row r="407" customFormat="1" s="30"/>
    <row r="408" customFormat="1" s="30"/>
    <row r="409" customFormat="1" s="30"/>
    <row r="410" customFormat="1" s="30"/>
    <row r="411" customFormat="1" s="30"/>
    <row r="412" customFormat="1" s="30"/>
    <row r="413" customFormat="1" s="30"/>
    <row r="414" customFormat="1" s="30"/>
    <row r="415" customFormat="1" s="30"/>
    <row r="416" customFormat="1" s="30"/>
    <row r="417" customFormat="1" s="30"/>
    <row r="418" customFormat="1" s="30"/>
    <row r="419" customFormat="1" s="30"/>
    <row r="420" customFormat="1" s="30"/>
    <row r="421" customFormat="1" s="30"/>
    <row r="422" customFormat="1" s="30"/>
    <row r="423" customFormat="1" s="30"/>
    <row r="424" customFormat="1" s="30"/>
    <row r="425" customFormat="1" s="30"/>
    <row r="426" customFormat="1" s="30"/>
    <row r="427" customFormat="1" s="30"/>
    <row r="428" customFormat="1" s="30"/>
    <row r="429" customFormat="1" s="30"/>
    <row r="430" customFormat="1" s="30"/>
    <row r="431" customFormat="1" s="30"/>
    <row r="432" customFormat="1" s="30"/>
    <row r="433" customFormat="1" s="30"/>
    <row r="434" customFormat="1" s="30"/>
    <row r="435" customFormat="1" s="30"/>
    <row r="436" customFormat="1" s="30"/>
    <row r="437" customFormat="1" s="30"/>
    <row r="438" customFormat="1" s="30"/>
    <row r="439" customFormat="1" s="30"/>
    <row r="440" customFormat="1" s="30"/>
    <row r="441" customFormat="1" s="30"/>
    <row r="442" customFormat="1" s="30"/>
    <row r="443" customFormat="1" s="30"/>
    <row r="444" customFormat="1" s="30"/>
    <row r="445" customFormat="1" s="30"/>
    <row r="446" customFormat="1" s="30"/>
    <row r="447" customFormat="1" s="30"/>
    <row r="448" customFormat="1" s="30"/>
    <row r="449" customFormat="1" s="30"/>
    <row r="450" customFormat="1" s="30"/>
    <row r="451" customFormat="1" s="30"/>
    <row r="452" customFormat="1" s="30"/>
    <row r="453" customFormat="1" s="30"/>
    <row r="454" customFormat="1" s="30"/>
    <row r="455" customFormat="1" s="30"/>
    <row r="456" customFormat="1" s="30"/>
    <row r="457" customFormat="1" s="30"/>
    <row r="458" customFormat="1" s="30"/>
    <row r="459" customFormat="1" s="30"/>
    <row r="460" customFormat="1" s="30"/>
    <row r="461" customFormat="1" s="30"/>
    <row r="462" customFormat="1" s="30"/>
    <row r="463" customFormat="1" s="30"/>
    <row r="464" customFormat="1" s="30"/>
    <row r="465" customFormat="1" s="30"/>
    <row r="466" customFormat="1" s="30"/>
    <row r="467" customFormat="1" s="30"/>
    <row r="468" customFormat="1" s="30"/>
    <row r="469" customFormat="1" s="30"/>
    <row r="470" customFormat="1" s="30"/>
    <row r="471" customFormat="1" s="30"/>
    <row r="472" customFormat="1" s="30"/>
    <row r="473" customFormat="1" s="30"/>
    <row r="474" customFormat="1" s="30"/>
    <row r="475" customFormat="1" s="30"/>
    <row r="476" customFormat="1" s="30"/>
    <row r="477" customFormat="1" s="30"/>
    <row r="478" customFormat="1" s="30"/>
    <row r="479" customFormat="1" s="30"/>
    <row r="480" customFormat="1" s="30"/>
    <row r="481" customFormat="1" s="30"/>
    <row r="482" customFormat="1" s="30"/>
    <row r="483" customFormat="1" s="30"/>
    <row r="484" customFormat="1" s="30"/>
    <row r="485" customFormat="1" s="30"/>
    <row r="486" customFormat="1" s="30"/>
    <row r="487" customFormat="1" s="30"/>
    <row r="488" customFormat="1" s="30"/>
    <row r="489" customFormat="1" s="30"/>
    <row r="490" customFormat="1" s="30"/>
    <row r="491" customFormat="1" s="30"/>
    <row r="492" customFormat="1" s="30"/>
    <row r="493" customFormat="1" s="30"/>
    <row r="494" customFormat="1" s="30"/>
    <row r="495" customFormat="1" s="30"/>
    <row r="496" customFormat="1" s="30"/>
    <row r="497" customFormat="1" s="30"/>
    <row r="498" customFormat="1" s="30"/>
    <row r="499" customFormat="1" s="30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4B"/>
  <mergeCells count="71">
    <mergeCell ref="L7:M7"/>
    <mergeCell ref="C42:C43"/>
    <mergeCell ref="L16:M16"/>
    <mergeCell ref="N7:O7"/>
    <mergeCell ref="C33:C34"/>
    <mergeCell ref="H43:I43"/>
    <mergeCell ref="N16:O16"/>
    <mergeCell ref="G42:G43"/>
    <mergeCell ref="Q33:Q34"/>
    <mergeCell ref="N25:O25"/>
    <mergeCell ref="P6:P7"/>
    <mergeCell ref="Q42:Q43"/>
    <mergeCell ref="R6:R7"/>
    <mergeCell ref="R24:R25"/>
    <mergeCell ref="S42:S43"/>
    <mergeCell ref="B42:B43"/>
    <mergeCell ref="R15:R16"/>
    <mergeCell ref="H34:I34"/>
    <mergeCell ref="H25:I25"/>
    <mergeCell ref="L43:M43"/>
    <mergeCell ref="J34:K34"/>
    <mergeCell ref="N43:O43"/>
    <mergeCell ref="H6:O6"/>
    <mergeCell ref="G6:G7"/>
    <mergeCell ref="G15:G16"/>
    <mergeCell ref="Q6:Q7"/>
    <mergeCell ref="R42:R43"/>
    <mergeCell ref="G24:G25"/>
    <mergeCell ref="S6:S7"/>
    <mergeCell ref="B6:B7"/>
    <mergeCell ref="S24:S25"/>
    <mergeCell ref="D33:F33"/>
    <mergeCell ref="B24:B25"/>
    <mergeCell ref="Q15:Q16"/>
    <mergeCell ref="D24:F24"/>
    <mergeCell ref="D42:F42"/>
    <mergeCell ref="S15:S16"/>
    <mergeCell ref="B15:B16"/>
    <mergeCell ref="D15:F15"/>
    <mergeCell ref="G33:G34"/>
    <mergeCell ref="H16:I16"/>
    <mergeCell ref="J16:K16"/>
    <mergeCell ref="H7:I7"/>
    <mergeCell ref="J7:K7"/>
    <mergeCell ref="J25:K25"/>
    <mergeCell ref="S33:S34"/>
    <mergeCell ref="B33:B34"/>
    <mergeCell ref="L25:M25"/>
    <mergeCell ref="T42:T43"/>
    <mergeCell ref="T6:T7"/>
    <mergeCell ref="P24:P25"/>
    <mergeCell ref="P15:P16"/>
    <mergeCell ref="R33:R34"/>
    <mergeCell ref="T15:T16"/>
    <mergeCell ref="B2:T4"/>
    <mergeCell ref="L34:M34"/>
    <mergeCell ref="J43:K43"/>
    <mergeCell ref="N34:O34"/>
    <mergeCell ref="P33:P34"/>
    <mergeCell ref="H15:O15"/>
    <mergeCell ref="H33:O33"/>
    <mergeCell ref="P42:P43"/>
    <mergeCell ref="T33:T34"/>
    <mergeCell ref="H42:O42"/>
    <mergeCell ref="H24:O24"/>
    <mergeCell ref="T24:T25"/>
    <mergeCell ref="C24:C25"/>
    <mergeCell ref="C15:C16"/>
    <mergeCell ref="C6:C7"/>
    <mergeCell ref="D6:F6"/>
    <mergeCell ref="Q24:Q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</dc:creator>
  <dcterms:created xmlns:dcterms="http://purl.org/dc/terms/" xmlns:xsi="http://www.w3.org/2001/XMLSchema-instance" xsi:type="dcterms:W3CDTF">2003-08-01T15:56:48Z</dcterms:created>
  <dcterms:modified xmlns:dcterms="http://purl.org/dc/terms/" xmlns:xsi="http://www.w3.org/2001/XMLSchema-instance" xsi:type="dcterms:W3CDTF">2025-11-16T13:44:51Z</dcterms:modified>
  <cp:lastModifiedBy>David Calle</cp:lastModifiedBy>
</cp:coreProperties>
</file>