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edf58a523d585a4a/Desktop/"/>
    </mc:Choice>
  </mc:AlternateContent>
  <xr:revisionPtr revIDLastSave="24" documentId="8_{A67C237C-CAB3-4C7C-B597-F0F83520381A}" xr6:coauthVersionLast="47" xr6:coauthVersionMax="47" xr10:uidLastSave="{DC1A3612-A1AB-4557-A4C7-4E14ADFDE406}"/>
  <bookViews>
    <workbookView xWindow="-108" yWindow="-108" windowWidth="23256" windowHeight="12456" tabRatio="438" activeTab="3" xr2:uid="{00000000-000D-0000-FFFF-FFFF00000000}"/>
  </bookViews>
  <sheets>
    <sheet name="Control Cambios" sheetId="5" r:id="rId1"/>
    <sheet name="Análisis 2" sheetId="21" state="hidden" r:id="rId2"/>
    <sheet name="Análisis" sheetId="23" r:id="rId3"/>
    <sheet name="Casos de Prueba" sheetId="24" r:id="rId4"/>
    <sheet name="Resultados-Requerimientos" sheetId="19" r:id="rId5"/>
  </sheets>
  <definedNames>
    <definedName name="BT175_201701141430" localSheetId="1">#REF!</definedName>
    <definedName name="BT175_201701141430">#REF!</definedName>
    <definedName name="BTcolgap_201701161503" localSheetId="1">#REF!</definedName>
    <definedName name="BTcolgap_201701161503">#REF!</definedName>
    <definedName name="BTNIIF_201701141430" localSheetId="1">#REF!</definedName>
    <definedName name="BTNIIF_201701141430">#REF!</definedName>
    <definedName name="consolidado" localSheetId="1">#REF!</definedName>
    <definedName name="consolidado">#REF!</definedName>
    <definedName name="INSERT_INICIAL" localSheetId="1">#REF!</definedName>
    <definedName name="INSERT_INICIAL">#REF!</definedName>
    <definedName name="RUBROREL82" localSheetId="1">#REF!</definedName>
    <definedName name="RUBROREL82">#REF!</definedName>
    <definedName name="RUBROREL822" localSheetId="1">#REF!</definedName>
    <definedName name="RUBROREL822">#REF!</definedName>
    <definedName name="RUBROREL823" localSheetId="1">#REF!</definedName>
    <definedName name="RUBROREL823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" i="19" l="1"/>
  <c r="H8" i="19"/>
  <c r="C8" i="19"/>
  <c r="B44" i="19" l="1"/>
  <c r="B35" i="19"/>
  <c r="B26" i="19"/>
  <c r="B17" i="19"/>
  <c r="B8" i="19"/>
  <c r="J35" i="19" l="1"/>
  <c r="Q8" i="19"/>
  <c r="Q11" i="19" s="1"/>
  <c r="G8" i="19"/>
  <c r="C17" i="19"/>
  <c r="C20" i="19" s="1"/>
  <c r="C26" i="19"/>
  <c r="C29" i="19" s="1"/>
  <c r="C11" i="19"/>
  <c r="N44" i="19"/>
  <c r="L44" i="19"/>
  <c r="J44" i="19"/>
  <c r="H44" i="19"/>
  <c r="G44" i="19"/>
  <c r="C35" i="19"/>
  <c r="C38" i="19" s="1"/>
  <c r="N35" i="19"/>
  <c r="L35" i="19"/>
  <c r="G35" i="19"/>
  <c r="H35" i="19"/>
  <c r="C44" i="19"/>
  <c r="C47" i="19" s="1"/>
  <c r="N26" i="19"/>
  <c r="L26" i="19"/>
  <c r="J26" i="19"/>
  <c r="H26" i="19"/>
  <c r="G26" i="19"/>
  <c r="N17" i="19"/>
  <c r="L17" i="19"/>
  <c r="J17" i="19"/>
  <c r="H17" i="19"/>
  <c r="G17" i="19"/>
  <c r="N8" i="19"/>
  <c r="L8" i="19"/>
  <c r="R8" i="19" l="1"/>
  <c r="P35" i="19"/>
  <c r="P38" i="19" s="1"/>
  <c r="P26" i="19"/>
  <c r="P29" i="19" s="1"/>
  <c r="P44" i="19"/>
  <c r="P47" i="19" s="1"/>
  <c r="P17" i="19"/>
  <c r="P20" i="19" s="1"/>
  <c r="P8" i="19"/>
  <c r="P11" i="19" s="1"/>
  <c r="G47" i="19"/>
  <c r="G38" i="19"/>
  <c r="N38" i="19"/>
  <c r="L38" i="19"/>
  <c r="J38" i="19"/>
  <c r="N47" i="19"/>
  <c r="L47" i="19"/>
  <c r="J47" i="19"/>
  <c r="H47" i="19"/>
  <c r="I45" i="19"/>
  <c r="S45" i="19" s="1"/>
  <c r="K45" i="19"/>
  <c r="M45" i="19"/>
  <c r="O45" i="19"/>
  <c r="P45" i="19"/>
  <c r="Q45" i="19"/>
  <c r="R45" i="19" s="1"/>
  <c r="I46" i="19"/>
  <c r="S46" i="19" s="1"/>
  <c r="K46" i="19"/>
  <c r="M46" i="19"/>
  <c r="O46" i="19"/>
  <c r="P46" i="19"/>
  <c r="Q46" i="19"/>
  <c r="R46" i="19" s="1"/>
  <c r="D47" i="19"/>
  <c r="E47" i="19"/>
  <c r="F47" i="19"/>
  <c r="I36" i="19"/>
  <c r="S36" i="19" s="1"/>
  <c r="K36" i="19"/>
  <c r="M36" i="19"/>
  <c r="O36" i="19"/>
  <c r="P36" i="19"/>
  <c r="Q36" i="19"/>
  <c r="R36" i="19" s="1"/>
  <c r="I37" i="19"/>
  <c r="S37" i="19" s="1"/>
  <c r="K37" i="19"/>
  <c r="M37" i="19"/>
  <c r="O37" i="19"/>
  <c r="P37" i="19"/>
  <c r="Q37" i="19"/>
  <c r="R37" i="19" s="1"/>
  <c r="D38" i="19"/>
  <c r="E38" i="19"/>
  <c r="F38" i="19"/>
  <c r="K35" i="19" l="1"/>
  <c r="K38" i="19" s="1"/>
  <c r="H38" i="19"/>
  <c r="Q35" i="19"/>
  <c r="O44" i="19"/>
  <c r="O47" i="19" s="1"/>
  <c r="Q44" i="19"/>
  <c r="Q47" i="19" s="1"/>
  <c r="K44" i="19"/>
  <c r="K47" i="19" s="1"/>
  <c r="M35" i="19"/>
  <c r="M38" i="19" s="1"/>
  <c r="I35" i="19"/>
  <c r="S35" i="19" s="1"/>
  <c r="S38" i="19" s="1"/>
  <c r="O35" i="19"/>
  <c r="O38" i="19" s="1"/>
  <c r="M44" i="19"/>
  <c r="M47" i="19" s="1"/>
  <c r="I44" i="19"/>
  <c r="S44" i="19" s="1"/>
  <c r="S47" i="19" s="1"/>
  <c r="N29" i="19"/>
  <c r="L29" i="19"/>
  <c r="J29" i="19"/>
  <c r="H29" i="19"/>
  <c r="N20" i="19"/>
  <c r="J20" i="19"/>
  <c r="J11" i="19"/>
  <c r="N11" i="19"/>
  <c r="L11" i="19"/>
  <c r="H11" i="19"/>
  <c r="L20" i="19"/>
  <c r="G29" i="19"/>
  <c r="F29" i="19"/>
  <c r="E29" i="19"/>
  <c r="D29" i="19"/>
  <c r="Q28" i="19"/>
  <c r="R28" i="19" s="1"/>
  <c r="P28" i="19"/>
  <c r="O28" i="19"/>
  <c r="M28" i="19"/>
  <c r="K28" i="19"/>
  <c r="I28" i="19"/>
  <c r="S28" i="19" s="1"/>
  <c r="S27" i="19"/>
  <c r="Q27" i="19"/>
  <c r="R27" i="19" s="1"/>
  <c r="P27" i="19"/>
  <c r="O27" i="19"/>
  <c r="M27" i="19"/>
  <c r="K27" i="19"/>
  <c r="I27" i="19"/>
  <c r="F20" i="19"/>
  <c r="E20" i="19"/>
  <c r="D20" i="19"/>
  <c r="Q19" i="19"/>
  <c r="R19" i="19" s="1"/>
  <c r="P19" i="19"/>
  <c r="O19" i="19"/>
  <c r="M19" i="19"/>
  <c r="K19" i="19"/>
  <c r="I19" i="19"/>
  <c r="S19" i="19" s="1"/>
  <c r="Q18" i="19"/>
  <c r="R18" i="19" s="1"/>
  <c r="P18" i="19"/>
  <c r="O18" i="19"/>
  <c r="M18" i="19"/>
  <c r="K18" i="19"/>
  <c r="I18" i="19"/>
  <c r="S18" i="19" s="1"/>
  <c r="F11" i="19"/>
  <c r="E11" i="19"/>
  <c r="D11" i="19"/>
  <c r="Q10" i="19"/>
  <c r="R10" i="19" s="1"/>
  <c r="P10" i="19"/>
  <c r="O10" i="19"/>
  <c r="M10" i="19"/>
  <c r="K10" i="19"/>
  <c r="I10" i="19"/>
  <c r="S10" i="19" s="1"/>
  <c r="Q9" i="19"/>
  <c r="R9" i="19" s="1"/>
  <c r="P9" i="19"/>
  <c r="O9" i="19"/>
  <c r="M9" i="19"/>
  <c r="K9" i="19"/>
  <c r="I9" i="19"/>
  <c r="S9" i="19" s="1"/>
  <c r="I38" i="19" l="1"/>
  <c r="R35" i="19"/>
  <c r="R38" i="19" s="1"/>
  <c r="Q38" i="19"/>
  <c r="I47" i="19"/>
  <c r="G11" i="19"/>
  <c r="I8" i="19"/>
  <c r="S8" i="19" s="1"/>
  <c r="S11" i="19" s="1"/>
  <c r="R44" i="19"/>
  <c r="R47" i="19" s="1"/>
  <c r="M8" i="19"/>
  <c r="M11" i="19" s="1"/>
  <c r="M26" i="19"/>
  <c r="M29" i="19" s="1"/>
  <c r="O17" i="19"/>
  <c r="O20" i="19" s="1"/>
  <c r="Q17" i="19"/>
  <c r="Q20" i="19" s="1"/>
  <c r="H20" i="19"/>
  <c r="I17" i="19"/>
  <c r="S17" i="19" s="1"/>
  <c r="S20" i="19" s="1"/>
  <c r="M17" i="19"/>
  <c r="M20" i="19" s="1"/>
  <c r="K8" i="19"/>
  <c r="K11" i="19" s="1"/>
  <c r="O8" i="19"/>
  <c r="O11" i="19" s="1"/>
  <c r="K26" i="19"/>
  <c r="K29" i="19" s="1"/>
  <c r="O26" i="19"/>
  <c r="O29" i="19" s="1"/>
  <c r="K17" i="19"/>
  <c r="K20" i="19" s="1"/>
  <c r="I26" i="19"/>
  <c r="S26" i="19" s="1"/>
  <c r="S29" i="19" s="1"/>
  <c r="Q26" i="19"/>
  <c r="Q29" i="19" s="1"/>
  <c r="I20" i="19" l="1"/>
  <c r="I29" i="19"/>
  <c r="R17" i="19"/>
  <c r="R20" i="19" s="1"/>
  <c r="R11" i="19"/>
  <c r="R26" i="19"/>
  <c r="R29" i="19" s="1"/>
  <c r="I11" i="19"/>
  <c r="G20" i="19" l="1"/>
</calcChain>
</file>

<file path=xl/sharedStrings.xml><?xml version="1.0" encoding="utf-8"?>
<sst xmlns="http://schemas.openxmlformats.org/spreadsheetml/2006/main" count="1263" uniqueCount="202">
  <si>
    <t>Pass:plantilla</t>
  </si>
  <si>
    <t>Control de Cambios Documento</t>
  </si>
  <si>
    <t>Versión</t>
  </si>
  <si>
    <t>Autor</t>
  </si>
  <si>
    <t>Fecha</t>
  </si>
  <si>
    <t>Descripción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</si>
  <si>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</si>
  <si>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</si>
  <si>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</si>
  <si>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</si>
  <si>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</si>
  <si>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</si>
  <si>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</si>
  <si>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</si>
  <si>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</si>
  <si>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</si>
  <si>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</si>
  <si>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</si>
  <si>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</si>
  <si>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</si>
  <si>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</si>
  <si>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</si>
  <si>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</si>
  <si>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</si>
  <si>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</si>
  <si>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</si>
  <si>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</si>
  <si>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</si>
  <si>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</si>
  <si>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</si>
  <si>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</si>
  <si>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</si>
  <si>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</si>
  <si>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</si>
  <si>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</si>
  <si>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</si>
  <si>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R31</t>
  </si>
  <si>
    <t>R32</t>
  </si>
  <si>
    <t>Precondiciones</t>
  </si>
  <si>
    <t xml:space="preserve">Usuario Creado en Bantotal </t>
  </si>
  <si>
    <t>x</t>
  </si>
  <si>
    <t xml:space="preserve">Usuario con perfil y permisos </t>
  </si>
  <si>
    <t>Remesadora</t>
  </si>
  <si>
    <t>RIA</t>
  </si>
  <si>
    <t>Acciones y valores</t>
  </si>
  <si>
    <t>Tipo de ingreso</t>
  </si>
  <si>
    <t>Cliente</t>
  </si>
  <si>
    <t>Persona</t>
  </si>
  <si>
    <t>País</t>
  </si>
  <si>
    <t>Seleccionar opción</t>
  </si>
  <si>
    <t>No seleccionar opción</t>
  </si>
  <si>
    <t>Tipo de documento</t>
  </si>
  <si>
    <t>Cédula de ciudadanía</t>
  </si>
  <si>
    <t>Cédula de extrangería</t>
  </si>
  <si>
    <t>Permiso de protección temporal</t>
  </si>
  <si>
    <t>Número de documento</t>
  </si>
  <si>
    <t>Perteneciente a un cliente</t>
  </si>
  <si>
    <t>No perteneciente a un cliente</t>
  </si>
  <si>
    <t>No válido o vacío</t>
  </si>
  <si>
    <t>Cuenta de ahorro</t>
  </si>
  <si>
    <t>Vigentes</t>
  </si>
  <si>
    <t>No vigentes</t>
  </si>
  <si>
    <t>Propia</t>
  </si>
  <si>
    <t>Datos persona</t>
  </si>
  <si>
    <t>Primer nombre</t>
  </si>
  <si>
    <t>Válido</t>
  </si>
  <si>
    <t>Nulo o vacío</t>
  </si>
  <si>
    <t>Segundo nombre</t>
  </si>
  <si>
    <t>Primer apeliido</t>
  </si>
  <si>
    <t>Segundo apeliido</t>
  </si>
  <si>
    <t>PIN Remesa</t>
  </si>
  <si>
    <t>Numérico, de 9 caracteres y único</t>
  </si>
  <si>
    <t>Duplicado</t>
  </si>
  <si>
    <t>Anulado</t>
  </si>
  <si>
    <t>No válido, no numérico, diferente a 9 caracteres o vacío</t>
  </si>
  <si>
    <t>Medio de pago</t>
  </si>
  <si>
    <t>Efectivo</t>
  </si>
  <si>
    <t>Cheque</t>
  </si>
  <si>
    <t>Ahorro</t>
  </si>
  <si>
    <t>Mixto</t>
  </si>
  <si>
    <t>Importe</t>
  </si>
  <si>
    <t>$4.300 COP &lt;=  x &lt;= $9.900.000 COP</t>
  </si>
  <si>
    <t xml:space="preserve"> x &lt; $4.300 COP</t>
  </si>
  <si>
    <t>x &gt; $9.900.000 COP</t>
  </si>
  <si>
    <t>Subcuenta (Pago Ahorro)</t>
  </si>
  <si>
    <t>Seleccionada y válida</t>
  </si>
  <si>
    <t>No válida o vacía</t>
  </si>
  <si>
    <t>Selección Titular/Beneficiario</t>
  </si>
  <si>
    <t>Titular</t>
  </si>
  <si>
    <t>Beneficiario</t>
  </si>
  <si>
    <t>Tipo de documento lde beneficiario (duda)</t>
  </si>
  <si>
    <t>Impresión timbre</t>
  </si>
  <si>
    <t>Si</t>
  </si>
  <si>
    <t>No</t>
  </si>
  <si>
    <t>Datos persona beneficiaria</t>
  </si>
  <si>
    <t>Cuenta</t>
  </si>
  <si>
    <t>Válida</t>
  </si>
  <si>
    <t>Vacía, sin seleccionar</t>
  </si>
  <si>
    <t>Suboeración</t>
  </si>
  <si>
    <t>Sucursal</t>
  </si>
  <si>
    <t>Número de cheque</t>
  </si>
  <si>
    <t>Vacío o nulo</t>
  </si>
  <si>
    <t>Acciones</t>
  </si>
  <si>
    <t>Confirmar</t>
  </si>
  <si>
    <t>Aceptar (Impresión timbre)</t>
  </si>
  <si>
    <t>Reprocesar (Caja Pago Remesas internacionales)</t>
  </si>
  <si>
    <t>Asiento  (Caja Pago Remesas internacionales)</t>
  </si>
  <si>
    <t>Cerrar  (Caja Pago Remesas internacionales)</t>
  </si>
  <si>
    <t>Confirmar  (Caja Pago Remesas internacionales)</t>
  </si>
  <si>
    <t>Consulta (Selección Titular/Beneficiario)</t>
  </si>
  <si>
    <t>Validar (Selección Titular/Beneficiario)</t>
  </si>
  <si>
    <t>Aceptar (Selección Titular/Beneficiario)</t>
  </si>
  <si>
    <t>Reprocesar (Cheque - Bancos Nacionales	)</t>
  </si>
  <si>
    <t>Asiento  (Cheque - Bancos Nacionales	)</t>
  </si>
  <si>
    <t>Cerrar  (Cheque - Bancos Nacionales	)</t>
  </si>
  <si>
    <t>Confirmar  (Cheque - Bancos Nacionales	)</t>
  </si>
  <si>
    <t>Continuar  (Cheque - Bancos Nacionales	)</t>
  </si>
  <si>
    <t>Ejecutar la transacción de pago de remesas</t>
  </si>
  <si>
    <t>Resultados</t>
  </si>
  <si>
    <t>El sistema muestra los nombres y apellidos del cliente</t>
  </si>
  <si>
    <t>El sistema muestra de manera informativa las cuentas de ahorros vigentes en pantalla</t>
  </si>
  <si>
    <t>El sistema no muestra los nombres y apellidos del cliente</t>
  </si>
  <si>
    <t>El sistema no muestra los campos nombres, apellidos y cuentas en blanco</t>
  </si>
  <si>
    <t>El sistema no muestra de manera informativa las cuentas de ahorros vigentes en pantalla</t>
  </si>
  <si>
    <t>El sistema genera el siguiente mensaje bloqueante “El PIN ingresado ya ha sido cancelado, validar”</t>
  </si>
  <si>
    <t>El sistema genera el siguiente mensaje bloqueante “Monto no permitido”</t>
  </si>
  <si>
    <t>El sistema permite continuar con la ejecución</t>
  </si>
  <si>
    <t>El sistema permite generar 2 Cut en 1/4 de hoja carta. Uno se entregará al cliente y otro se quedará para BMM.</t>
  </si>
  <si>
    <t>El sistema debita el dinero del rubro 16909503220, para acreditarse al rubro 21080501010, según el tipo de pago seleccionado por el usuario/cliente (cuenta de ahorros).</t>
  </si>
  <si>
    <t>El sistema debita el dinero del rubro 16909503220, para acreditarse al rubro 11150503010, según el tipo de pago seleccionado por el usuario/cliente (efectivo).</t>
  </si>
  <si>
    <t>El sistema debita el dinero del rubro 16909503220, para acreditarse al rubro 11050501010 según el tipo de pago seleccionado por el usuario/cliente (cheque).</t>
  </si>
  <si>
    <t xml:space="preserve">El sistema debita el dinero del rubro 16909503220, para acreditarse al rubro 21080501010, 11150503010 o 11050501010 según el tipo de pago seleccionado por el usuario/cliente (mixto). </t>
  </si>
  <si>
    <t>El sistema no permite continuar con la ejecución</t>
  </si>
  <si>
    <t>El sistema muestra el panel de Seleccionar Titular/Beneficiario</t>
  </si>
  <si>
    <t>El sistema muestra el detalle del Asiento</t>
  </si>
  <si>
    <t>El sistema muestra el panel de Operaciones de Caja</t>
  </si>
  <si>
    <t>OK</t>
  </si>
  <si>
    <t>Observaciones</t>
  </si>
  <si>
    <t xml:space="preserve">Análisis de Resultados </t>
  </si>
  <si>
    <t>Análisis de Resultados IT I</t>
  </si>
  <si>
    <t>Funcionalidad o Requerimiento</t>
  </si>
  <si>
    <t>Nro. Reqs Prueba</t>
  </si>
  <si>
    <t>No Conformidades</t>
  </si>
  <si>
    <t>NC Anulados</t>
  </si>
  <si>
    <t>Correctitud</t>
  </si>
  <si>
    <t>Densidad NC</t>
  </si>
  <si>
    <t>Confiab.</t>
  </si>
  <si>
    <t>Cobertura</t>
  </si>
  <si>
    <t>Bloqueante</t>
  </si>
  <si>
    <t>Funcional</t>
  </si>
  <si>
    <t>Presentación</t>
  </si>
  <si>
    <t>Ejecutados</t>
  </si>
  <si>
    <t>NOK</t>
  </si>
  <si>
    <t>PDTE</t>
  </si>
  <si>
    <t>Total</t>
  </si>
  <si>
    <t>Análisis de Resultados IT II</t>
  </si>
  <si>
    <t>Análisis de Resultados IT III</t>
  </si>
  <si>
    <t>Análisis de Resultados IT IV</t>
  </si>
  <si>
    <t>Análisis de Resultados IT V</t>
  </si>
  <si>
    <t>DISEÑO DE PRUEBAS</t>
  </si>
  <si>
    <t>MATRIZ DE PRUEBA</t>
  </si>
  <si>
    <t>Elaborado por:</t>
  </si>
  <si>
    <t>Fecha de Elaboración:</t>
  </si>
  <si>
    <t>ID del Requerimiento</t>
  </si>
  <si>
    <t>Prueba</t>
  </si>
  <si>
    <t>Nombre del Requerimiento</t>
  </si>
  <si>
    <t>R1: Ejecución Exitosa y Optimizada</t>
  </si>
  <si>
    <t>R2: Ejecución Fallida (No detiene cadena)</t>
  </si>
  <si>
    <t>R3: Intento de Ejecución Concurrente (Negativo)</t>
  </si>
  <si>
    <t>R4: Consulta de Configuración del Proceso</t>
  </si>
  <si>
    <t>"Precondiciones"</t>
  </si>
  <si>
    <t>1. Proceso PJMMN177 configurado para paralelización.</t>
  </si>
  <si>
    <t>X</t>
  </si>
  <si>
    <t>2. Threads de procesos (1 a 15) correctamente definidos.</t>
  </si>
  <si>
    <t>3. Usuario QA con permisos de consulta y ejecución.</t>
  </si>
  <si>
    <t>4. Proceso PJMMN177 se encuentra "En Ejecución".</t>
  </si>
  <si>
    <t>"Condiciones / Valores Límite"</t>
  </si>
  <si>
    <t>1. Volumen de Datos: Carga representativa (Clase de equivalencia válida).</t>
  </si>
  <si>
    <t>2. Volumen de Datos: Carga máxima de estrés (Valor Límite Superior).</t>
  </si>
  <si>
    <t>3. Threads: Ejecución utilizando todos los threads configurados (15).</t>
  </si>
  <si>
    <t>4. Threads: Ejecución utilizando 1 solo thread (Valor Límite Inferior).</t>
  </si>
  <si>
    <t>"Módulos Involucrados"</t>
  </si>
  <si>
    <t>1. Módulo de Ejecución de Procesos Batch.</t>
  </si>
  <si>
    <t>2. Módulo de Consulta de Logs.</t>
  </si>
  <si>
    <t>3. Módulo de Mantenimiento de Procesos (Consulta).</t>
  </si>
  <si>
    <t>"Acciones / Resultados"</t>
  </si>
  <si>
    <t>1. Acción: Ejecutar PJMMN177 bajo demanda.</t>
  </si>
  <si>
    <t>2. Acción: Consultar configuración del proceso PJMMN177.</t>
  </si>
  <si>
    <t>3. Resultado: Proceso finaliza correctamente y en un tiempo significativamente menor a las 10 horas.</t>
  </si>
  <si>
    <t>4. Resultado: Proceso falla, pero el siguiente proceso de la cadena (PJMMN176) inicia su ejecución.</t>
  </si>
  <si>
    <t>5. Resultado: El sistema impide la segunda ejecución y muestra un mensaje de error informativo.</t>
  </si>
  <si>
    <t>6. Resultado: La interfaz de Bantotal muestra correctamente los parámetros de SQL, threads y comportamiento.</t>
  </si>
  <si>
    <t>01</t>
  </si>
  <si>
    <t>David Calle</t>
  </si>
  <si>
    <t>Diseño de Casos de Prueba</t>
  </si>
  <si>
    <t xml:space="preserve">{{Proceso o Funcionalidad}} </t>
  </si>
  <si>
    <t>{{Etapa}}</t>
  </si>
  <si>
    <t>{{ID del caso de prueba}}</t>
  </si>
  <si>
    <t>{{Descripción del caso de prueba}}</t>
  </si>
  <si>
    <t>{{Descripción de los Pasos de prueba}}</t>
  </si>
  <si>
    <t>{{Elementos a Probar}}</t>
  </si>
  <si>
    <t>{{Resultados Esperados}}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</si>
</sst>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-&quot;$&quot;* #,##0.00_-;\-&quot;$&quot;* #,##0.00_-;_-&quot;$&quot;* &quot;-&quot;??_-;_-@_-"/>
    <numFmt numFmtId="165" formatCode="_(* #,##0.00_);_(* \(#,##0.00\);_(* &quot;-&quot;??_);_(@_)"/>
    <numFmt numFmtId="166" formatCode="_ * #,##0.00_ ;_ * \-#,##0.00_ ;_ * &quot;-&quot;??_ ;_ @_ "/>
    <numFmt numFmtId="167" formatCode="_(&quot;$&quot;* #,##0.00_);_(&quot;$&quot;* \(#,##0.00\);_(&quot;$&quot;* &quot;-&quot;??_);_(@_)"/>
  </numFmts>
  <fonts count="3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0"/>
      <color indexed="55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11"/>
      <color theme="0"/>
      <name val="Arial"/>
      <family val="2"/>
    </font>
    <font>
      <b/>
      <sz val="11"/>
      <color theme="0"/>
      <name val="Calibri"/>
      <family val="2"/>
      <scheme val="minor"/>
    </font>
    <font>
      <b/>
      <sz val="12"/>
      <color theme="0"/>
      <name val="Arial"/>
      <family val="2"/>
    </font>
    <font>
      <sz val="10"/>
      <color theme="1"/>
      <name val="Arial"/>
      <family val="2"/>
    </font>
    <font>
      <sz val="10"/>
      <color indexed="0"/>
      <name val="Arial"/>
      <family val="2"/>
    </font>
    <font>
      <sz val="11"/>
      <color indexed="8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sz val="10"/>
      <color theme="0" tint="-4.9989318521683403E-2"/>
      <name val="Arial"/>
      <family val="2"/>
    </font>
    <font>
      <sz val="11"/>
      <name val="Arial"/>
      <family val="2"/>
    </font>
    <font>
      <b/>
      <i/>
      <sz val="11"/>
      <color theme="0"/>
      <name val="Arial"/>
      <family val="2"/>
    </font>
    <font>
      <i/>
      <sz val="11"/>
      <color theme="0"/>
      <name val="Arial"/>
      <family val="2"/>
    </font>
    <font>
      <sz val="11"/>
      <color theme="1"/>
      <name val="Arial"/>
      <family val="2"/>
    </font>
    <font>
      <sz val="12"/>
      <name val="Arial"/>
      <family val="2"/>
    </font>
    <font>
      <sz val="8"/>
      <name val="Arial"/>
      <family val="2"/>
    </font>
    <font>
      <sz val="12"/>
      <color theme="1"/>
      <name val="Arial"/>
      <family val="2"/>
    </font>
    <font>
      <b/>
      <sz val="14"/>
      <color theme="4" tint="-0.249977111117893"/>
      <name val="Arial"/>
      <family val="2"/>
    </font>
    <font>
      <sz val="10"/>
      <color theme="0" tint="-0.34998626667073579"/>
      <name val="Arial"/>
      <family val="2"/>
    </font>
    <font>
      <b/>
      <sz val="10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</patternFill>
    </fill>
    <fill>
      <patternFill patternType="solid">
        <fgColor rgb="FF92D050"/>
        <bgColor indexed="64"/>
      </patternFill>
    </fill>
    <fill>
      <patternFill patternType="solid">
        <fgColor theme="5" tint="-0.249977111117893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39">
    <xf numFmtId="0" fontId="0" fillId="0" borderId="0"/>
    <xf numFmtId="0" fontId="13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0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14" fillId="0" borderId="0" applyFont="0" applyFill="0" applyBorder="0" applyAlignment="0" applyProtection="0"/>
    <xf numFmtId="167" fontId="14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24" fillId="0" borderId="0"/>
    <xf numFmtId="0" fontId="24" fillId="0" borderId="0"/>
    <xf numFmtId="9" fontId="14" fillId="0" borderId="0" applyFont="0" applyFill="0" applyBorder="0" applyAlignment="0" applyProtection="0"/>
    <xf numFmtId="0" fontId="7" fillId="0" borderId="0"/>
    <xf numFmtId="165" fontId="7" fillId="0" borderId="0" applyFont="0" applyFill="0" applyBorder="0" applyAlignment="0" applyProtection="0"/>
    <xf numFmtId="0" fontId="25" fillId="0" borderId="0"/>
    <xf numFmtId="0" fontId="6" fillId="0" borderId="0"/>
    <xf numFmtId="0" fontId="26" fillId="0" borderId="0"/>
    <xf numFmtId="9" fontId="14" fillId="0" borderId="0" applyFont="0" applyFill="0" applyBorder="0" applyAlignment="0" applyProtection="0"/>
    <xf numFmtId="0" fontId="5" fillId="0" borderId="0"/>
    <xf numFmtId="0" fontId="14" fillId="0" borderId="0"/>
    <xf numFmtId="0" fontId="4" fillId="0" borderId="0"/>
    <xf numFmtId="0" fontId="1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5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0" fontId="4" fillId="0" borderId="0"/>
    <xf numFmtId="0" fontId="14" fillId="0" borderId="0"/>
    <xf numFmtId="0" fontId="4" fillId="0" borderId="0"/>
    <xf numFmtId="0" fontId="3" fillId="0" borderId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5" fontId="2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" fillId="6" borderId="31" applyNumberFormat="0" applyFont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" fillId="0" borderId="0"/>
  </cellStyleXfs>
  <cellXfs count="151">
    <xf numFmtId="0" fontId="0" fillId="0" borderId="0" xfId="0"/>
    <xf numFmtId="9" fontId="18" fillId="2" borderId="26" xfId="26" applyFont="1" applyFill="1" applyBorder="1" applyAlignment="1" applyProtection="1">
      <alignment horizontal="center"/>
    </xf>
    <xf numFmtId="0" fontId="23" fillId="0" borderId="22" xfId="26" applyNumberFormat="1" applyFont="1" applyFill="1" applyBorder="1" applyAlignment="1" applyProtection="1">
      <alignment horizontal="left"/>
      <protection locked="0"/>
    </xf>
    <xf numFmtId="0" fontId="23" fillId="0" borderId="2" xfId="26" applyNumberFormat="1" applyFont="1" applyFill="1" applyBorder="1" applyAlignment="1" applyProtection="1">
      <alignment horizontal="center"/>
      <protection locked="0"/>
    </xf>
    <xf numFmtId="0" fontId="23" fillId="0" borderId="1" xfId="26" applyNumberFormat="1" applyFont="1" applyFill="1" applyBorder="1" applyAlignment="1" applyProtection="1">
      <alignment horizontal="center"/>
      <protection locked="0"/>
    </xf>
    <xf numFmtId="9" fontId="23" fillId="0" borderId="2" xfId="26" applyFont="1" applyFill="1" applyBorder="1" applyAlignment="1" applyProtection="1">
      <alignment horizontal="center"/>
    </xf>
    <xf numFmtId="9" fontId="23" fillId="0" borderId="2" xfId="26" applyFont="1" applyFill="1" applyBorder="1" applyAlignment="1">
      <alignment horizontal="center"/>
    </xf>
    <xf numFmtId="0" fontId="23" fillId="0" borderId="0" xfId="0" applyFont="1"/>
    <xf numFmtId="0" fontId="3" fillId="0" borderId="0" xfId="51"/>
    <xf numFmtId="0" fontId="18" fillId="2" borderId="18" xfId="49" applyFont="1" applyFill="1" applyBorder="1" applyAlignment="1">
      <alignment horizontal="center" vertical="center" wrapText="1"/>
    </xf>
    <xf numFmtId="0" fontId="23" fillId="0" borderId="1" xfId="26" applyNumberFormat="1" applyFont="1" applyFill="1" applyBorder="1" applyAlignment="1" applyProtection="1">
      <alignment horizontal="center"/>
    </xf>
    <xf numFmtId="0" fontId="23" fillId="0" borderId="2" xfId="49" applyFont="1" applyBorder="1" applyAlignment="1" applyProtection="1">
      <alignment horizontal="center"/>
      <protection locked="0"/>
    </xf>
    <xf numFmtId="0" fontId="23" fillId="0" borderId="1" xfId="49" applyFont="1" applyBorder="1" applyAlignment="1" applyProtection="1">
      <alignment horizontal="center"/>
      <protection locked="0"/>
    </xf>
    <xf numFmtId="0" fontId="23" fillId="0" borderId="24" xfId="49" applyFont="1" applyBorder="1"/>
    <xf numFmtId="0" fontId="20" fillId="2" borderId="25" xfId="49" applyFont="1" applyFill="1" applyBorder="1"/>
    <xf numFmtId="0" fontId="18" fillId="2" borderId="26" xfId="49" applyFont="1" applyFill="1" applyBorder="1" applyAlignment="1">
      <alignment horizontal="center"/>
    </xf>
    <xf numFmtId="0" fontId="28" fillId="0" borderId="0" xfId="0" applyFont="1"/>
    <xf numFmtId="0" fontId="23" fillId="0" borderId="2" xfId="26" applyNumberFormat="1" applyFont="1" applyFill="1" applyBorder="1" applyAlignment="1" applyProtection="1">
      <alignment horizontal="center"/>
    </xf>
    <xf numFmtId="9" fontId="23" fillId="0" borderId="14" xfId="26" applyFont="1" applyFill="1" applyBorder="1" applyAlignment="1" applyProtection="1">
      <alignment horizontal="center"/>
    </xf>
    <xf numFmtId="9" fontId="18" fillId="2" borderId="28" xfId="26" applyFont="1" applyFill="1" applyBorder="1" applyAlignment="1" applyProtection="1">
      <alignment horizontal="center"/>
    </xf>
    <xf numFmtId="0" fontId="18" fillId="2" borderId="25" xfId="49" applyFont="1" applyFill="1" applyBorder="1" applyAlignment="1">
      <alignment horizontal="center"/>
    </xf>
    <xf numFmtId="0" fontId="23" fillId="0" borderId="29" xfId="26" applyNumberFormat="1" applyFont="1" applyFill="1" applyBorder="1" applyAlignment="1" applyProtection="1">
      <alignment horizontal="center"/>
      <protection locked="0"/>
    </xf>
    <xf numFmtId="0" fontId="23" fillId="0" borderId="22" xfId="26" applyNumberFormat="1" applyFont="1" applyFill="1" applyBorder="1" applyAlignment="1" applyProtection="1">
      <alignment horizontal="left"/>
    </xf>
    <xf numFmtId="0" fontId="23" fillId="0" borderId="2" xfId="49" applyFont="1" applyBorder="1" applyAlignment="1">
      <alignment horizontal="center"/>
    </xf>
    <xf numFmtId="0" fontId="23" fillId="0" borderId="23" xfId="49" applyFont="1" applyBorder="1"/>
    <xf numFmtId="0" fontId="18" fillId="2" borderId="27" xfId="49" applyFont="1" applyFill="1" applyBorder="1"/>
    <xf numFmtId="9" fontId="23" fillId="0" borderId="2" xfId="26" applyFont="1" applyFill="1" applyBorder="1" applyAlignment="1" applyProtection="1">
      <alignment horizontal="center"/>
      <protection locked="0"/>
    </xf>
    <xf numFmtId="9" fontId="23" fillId="0" borderId="14" xfId="26" applyFont="1" applyFill="1" applyBorder="1" applyAlignment="1" applyProtection="1">
      <alignment horizontal="center"/>
      <protection locked="0"/>
    </xf>
    <xf numFmtId="0" fontId="23" fillId="0" borderId="23" xfId="49" applyFont="1" applyBorder="1" applyProtection="1">
      <protection locked="0"/>
    </xf>
    <xf numFmtId="0" fontId="23" fillId="0" borderId="0" xfId="0" applyFont="1" applyProtection="1">
      <protection locked="0"/>
    </xf>
    <xf numFmtId="0" fontId="0" fillId="3" borderId="0" xfId="0" applyFill="1"/>
    <xf numFmtId="0" fontId="14" fillId="3" borderId="6" xfId="49" applyFill="1" applyBorder="1"/>
    <xf numFmtId="0" fontId="14" fillId="3" borderId="0" xfId="49" applyFill="1"/>
    <xf numFmtId="0" fontId="14" fillId="3" borderId="3" xfId="49" applyFill="1" applyBorder="1"/>
    <xf numFmtId="0" fontId="14" fillId="3" borderId="4" xfId="49" applyFill="1" applyBorder="1"/>
    <xf numFmtId="0" fontId="17" fillId="3" borderId="0" xfId="49" applyFont="1" applyFill="1" applyAlignment="1">
      <alignment horizontal="center"/>
    </xf>
    <xf numFmtId="0" fontId="14" fillId="3" borderId="5" xfId="49" applyFill="1" applyBorder="1"/>
    <xf numFmtId="0" fontId="14" fillId="3" borderId="7" xfId="49" applyFill="1" applyBorder="1"/>
    <xf numFmtId="0" fontId="23" fillId="3" borderId="0" xfId="0" applyFont="1" applyFill="1" applyProtection="1">
      <protection locked="0"/>
    </xf>
    <xf numFmtId="0" fontId="23" fillId="3" borderId="0" xfId="0" applyFont="1" applyFill="1"/>
    <xf numFmtId="10" fontId="0" fillId="3" borderId="0" xfId="0" applyNumberFormat="1" applyFill="1"/>
    <xf numFmtId="0" fontId="15" fillId="5" borderId="5" xfId="49" applyFont="1" applyFill="1" applyBorder="1"/>
    <xf numFmtId="0" fontId="17" fillId="5" borderId="6" xfId="49" applyFont="1" applyFill="1" applyBorder="1" applyAlignment="1">
      <alignment horizontal="center"/>
    </xf>
    <xf numFmtId="0" fontId="14" fillId="5" borderId="6" xfId="49" applyFill="1" applyBorder="1"/>
    <xf numFmtId="0" fontId="14" fillId="5" borderId="0" xfId="49" applyFill="1"/>
    <xf numFmtId="0" fontId="14" fillId="5" borderId="3" xfId="49" applyFill="1" applyBorder="1"/>
    <xf numFmtId="0" fontId="29" fillId="0" borderId="33" xfId="138" applyFont="1" applyBorder="1" applyAlignment="1">
      <alignment horizontal="left"/>
    </xf>
    <xf numFmtId="0" fontId="31" fillId="4" borderId="32" xfId="0" applyFont="1" applyFill="1" applyBorder="1"/>
    <xf numFmtId="0" fontId="30" fillId="4" borderId="35" xfId="0" applyFont="1" applyFill="1" applyBorder="1" applyAlignment="1">
      <alignment wrapText="1"/>
    </xf>
    <xf numFmtId="0" fontId="20" fillId="4" borderId="8" xfId="0" applyFont="1" applyFill="1" applyBorder="1"/>
    <xf numFmtId="0" fontId="20" fillId="4" borderId="1" xfId="0" applyFont="1" applyFill="1" applyBorder="1" applyAlignment="1">
      <alignment horizontal="center" vertical="center"/>
    </xf>
    <xf numFmtId="0" fontId="20" fillId="4" borderId="0" xfId="0" applyFont="1" applyFill="1" applyAlignment="1">
      <alignment horizontal="center" vertical="center" wrapText="1"/>
    </xf>
    <xf numFmtId="49" fontId="29" fillId="0" borderId="34" xfId="28" applyNumberFormat="1" applyFont="1" applyBorder="1" applyAlignment="1">
      <alignment wrapText="1"/>
    </xf>
    <xf numFmtId="49" fontId="29" fillId="0" borderId="0" xfId="28" applyNumberFormat="1" applyFont="1" applyAlignment="1">
      <alignment wrapText="1"/>
    </xf>
    <xf numFmtId="0" fontId="31" fillId="4" borderId="30" xfId="0" applyFont="1" applyFill="1" applyBorder="1"/>
    <xf numFmtId="9" fontId="32" fillId="7" borderId="1" xfId="138" applyNumberFormat="1" applyFont="1" applyFill="1" applyBorder="1" applyAlignment="1">
      <alignment horizontal="left" vertical="center" wrapText="1"/>
    </xf>
    <xf numFmtId="0" fontId="33" fillId="0" borderId="1" xfId="138" applyFont="1" applyBorder="1" applyAlignment="1">
      <alignment horizontal="center" vertical="center"/>
    </xf>
    <xf numFmtId="0" fontId="33" fillId="3" borderId="0" xfId="138" applyFont="1" applyFill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33" fillId="0" borderId="17" xfId="0" applyFont="1" applyBorder="1" applyAlignment="1">
      <alignment horizontal="center" vertical="center"/>
    </xf>
    <xf numFmtId="14" fontId="14" fillId="3" borderId="1" xfId="1" applyNumberFormat="1" applyFont="1" applyFill="1" applyBorder="1" applyAlignment="1">
      <alignment horizontal="center" vertical="center"/>
    </xf>
    <xf numFmtId="49" fontId="29" fillId="0" borderId="33" xfId="28" applyNumberFormat="1" applyFont="1" applyBorder="1" applyAlignment="1">
      <alignment wrapText="1"/>
    </xf>
    <xf numFmtId="0" fontId="33" fillId="0" borderId="0" xfId="138" applyFont="1" applyAlignment="1">
      <alignment horizontal="center" vertical="center"/>
    </xf>
    <xf numFmtId="9" fontId="32" fillId="8" borderId="1" xfId="138" applyNumberFormat="1" applyFont="1" applyFill="1" applyBorder="1" applyAlignment="1">
      <alignment horizontal="left" vertical="center" wrapText="1"/>
    </xf>
    <xf numFmtId="0" fontId="29" fillId="0" borderId="0" xfId="138" applyFont="1" applyAlignment="1">
      <alignment horizontal="left"/>
    </xf>
    <xf numFmtId="9" fontId="32" fillId="7" borderId="17" xfId="138" applyNumberFormat="1" applyFont="1" applyFill="1" applyBorder="1" applyAlignment="1">
      <alignment horizontal="left" vertical="center" wrapText="1"/>
    </xf>
    <xf numFmtId="9" fontId="32" fillId="8" borderId="17" xfId="138" applyNumberFormat="1" applyFont="1" applyFill="1" applyBorder="1" applyAlignment="1">
      <alignment horizontal="left" vertical="center" wrapText="1"/>
    </xf>
    <xf numFmtId="0" fontId="33" fillId="0" borderId="17" xfId="138" applyFont="1" applyBorder="1" applyAlignment="1">
      <alignment horizontal="center" vertical="center"/>
    </xf>
    <xf numFmtId="0" fontId="33" fillId="7" borderId="17" xfId="0" applyFont="1" applyFill="1" applyBorder="1" applyAlignment="1">
      <alignment horizontal="center" vertical="center"/>
    </xf>
    <xf numFmtId="9" fontId="35" fillId="8" borderId="17" xfId="138" applyNumberFormat="1" applyFont="1" applyFill="1" applyBorder="1" applyAlignment="1">
      <alignment horizontal="center" vertical="top" wrapText="1"/>
    </xf>
    <xf numFmtId="9" fontId="35" fillId="8" borderId="17" xfId="138" applyNumberFormat="1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/>
    </xf>
    <xf numFmtId="0" fontId="14" fillId="3" borderId="0" xfId="0" applyFont="1" applyFill="1" applyAlignment="1">
      <alignment vertical="top"/>
    </xf>
    <xf numFmtId="0" fontId="0" fillId="3" borderId="0" xfId="0" applyFill="1" applyAlignment="1">
      <alignment horizontal="center" vertical="top"/>
    </xf>
    <xf numFmtId="0" fontId="0" fillId="3" borderId="0" xfId="0" applyFill="1" applyAlignment="1">
      <alignment vertical="top"/>
    </xf>
    <xf numFmtId="0" fontId="0" fillId="3" borderId="0" xfId="0" applyFill="1" applyAlignment="1">
      <alignment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18" fillId="4" borderId="41" xfId="0" applyFont="1" applyFill="1" applyBorder="1" applyAlignment="1">
      <alignment horizontal="center" vertical="center" wrapText="1"/>
    </xf>
    <xf numFmtId="14" fontId="14" fillId="0" borderId="1" xfId="1" applyNumberFormat="1" applyFont="1" applyBorder="1" applyAlignment="1">
      <alignment horizontal="center" vertical="center"/>
    </xf>
    <xf numFmtId="0" fontId="14" fillId="0" borderId="1" xfId="1" applyFont="1" applyBorder="1" applyAlignment="1">
      <alignment horizontal="center" vertical="center"/>
    </xf>
    <xf numFmtId="0" fontId="21" fillId="2" borderId="1" xfId="1" applyFont="1" applyFill="1" applyBorder="1" applyAlignment="1">
      <alignment horizontal="center"/>
    </xf>
    <xf numFmtId="49" fontId="14" fillId="0" borderId="1" xfId="1" applyNumberFormat="1" applyFont="1" applyBorder="1" applyAlignment="1">
      <alignment horizontal="center" vertical="center"/>
    </xf>
    <xf numFmtId="49" fontId="16" fillId="0" borderId="1" xfId="1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4" fillId="0" borderId="1" xfId="0" applyFont="1" applyBorder="1" applyAlignment="1">
      <alignment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0" borderId="17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22" fillId="4" borderId="1" xfId="0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vertical="center" wrapText="1"/>
    </xf>
    <xf numFmtId="0" fontId="14" fillId="7" borderId="1" xfId="0" applyFont="1" applyFill="1" applyBorder="1" applyAlignment="1">
      <alignment vertical="center" wrapText="1"/>
    </xf>
    <xf numFmtId="0" fontId="14" fillId="7" borderId="1" xfId="0" applyFont="1" applyFill="1" applyBorder="1" applyAlignment="1">
      <alignment horizontal="center" vertical="center" wrapText="1"/>
    </xf>
    <xf numFmtId="0" fontId="38" fillId="0" borderId="16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vertical="center" wrapText="1"/>
    </xf>
    <xf numFmtId="0" fontId="18" fillId="2" borderId="43" xfId="0" applyFont="1" applyFill="1" applyBorder="1" applyAlignment="1">
      <alignment horizontal="center" vertical="center" wrapText="1"/>
    </xf>
    <xf numFmtId="0" fontId="18" fillId="2" borderId="44" xfId="0" applyFont="1" applyFill="1" applyBorder="1" applyAlignment="1">
      <alignment horizontal="center" vertical="center" wrapText="1"/>
    </xf>
    <xf numFmtId="0" fontId="18" fillId="2" borderId="42" xfId="0" applyFont="1" applyFill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14" fillId="0" borderId="1" xfId="1" applyFont="1" applyBorder="1" applyAlignment="1">
      <alignment vertical="center" wrapText="1"/>
    </xf>
    <xf numFmtId="0" fontId="37" fillId="0" borderId="1" xfId="1" applyFont="1" applyBorder="1" applyAlignment="1">
      <alignment vertical="center" wrapText="1"/>
    </xf>
    <xf numFmtId="0" fontId="22" fillId="2" borderId="12" xfId="1" applyFont="1" applyFill="1" applyBorder="1" applyAlignment="1">
      <alignment horizontal="center" vertical="center"/>
    </xf>
    <xf numFmtId="0" fontId="22" fillId="2" borderId="13" xfId="1" applyFont="1" applyFill="1" applyBorder="1" applyAlignment="1">
      <alignment horizontal="center" vertical="center"/>
    </xf>
    <xf numFmtId="0" fontId="22" fillId="2" borderId="10" xfId="1" applyFont="1" applyFill="1" applyBorder="1" applyAlignment="1">
      <alignment horizontal="center" vertical="center"/>
    </xf>
    <xf numFmtId="0" fontId="22" fillId="2" borderId="4" xfId="1" applyFont="1" applyFill="1" applyBorder="1" applyAlignment="1">
      <alignment horizontal="center" vertical="center"/>
    </xf>
    <xf numFmtId="0" fontId="22" fillId="2" borderId="0" xfId="1" applyFont="1" applyFill="1" applyAlignment="1">
      <alignment horizontal="center" vertical="center"/>
    </xf>
    <xf numFmtId="0" fontId="22" fillId="2" borderId="3" xfId="1" applyFont="1" applyFill="1" applyBorder="1" applyAlignment="1">
      <alignment horizontal="center" vertical="center"/>
    </xf>
    <xf numFmtId="0" fontId="21" fillId="2" borderId="1" xfId="1" applyFont="1" applyFill="1" applyBorder="1" applyAlignment="1">
      <alignment horizontal="center"/>
    </xf>
    <xf numFmtId="14" fontId="14" fillId="3" borderId="1" xfId="1" applyNumberFormat="1" applyFont="1" applyFill="1" applyBorder="1" applyAlignment="1">
      <alignment vertical="center" wrapText="1"/>
    </xf>
    <xf numFmtId="0" fontId="14" fillId="3" borderId="1" xfId="1" applyFont="1" applyFill="1" applyBorder="1" applyAlignment="1">
      <alignment vertical="center" wrapText="1"/>
    </xf>
    <xf numFmtId="0" fontId="14" fillId="0" borderId="1" xfId="1" applyFont="1" applyBorder="1" applyAlignment="1">
      <alignment vertical="center"/>
    </xf>
    <xf numFmtId="0" fontId="36" fillId="0" borderId="36" xfId="0" applyFont="1" applyBorder="1" applyAlignment="1">
      <alignment horizontal="center" vertical="center"/>
    </xf>
    <xf numFmtId="0" fontId="36" fillId="0" borderId="37" xfId="0" applyFont="1" applyBorder="1" applyAlignment="1">
      <alignment horizontal="center" vertical="center"/>
    </xf>
    <xf numFmtId="0" fontId="36" fillId="0" borderId="38" xfId="0" applyFont="1" applyBorder="1" applyAlignment="1">
      <alignment horizontal="center" vertical="center"/>
    </xf>
    <xf numFmtId="0" fontId="36" fillId="0" borderId="33" xfId="0" applyFont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36" fillId="0" borderId="35" xfId="0" applyFont="1" applyBorder="1" applyAlignment="1">
      <alignment horizontal="center" vertical="center"/>
    </xf>
    <xf numFmtId="0" fontId="36" fillId="0" borderId="14" xfId="0" applyFont="1" applyBorder="1" applyAlignment="1">
      <alignment horizontal="center" vertical="center"/>
    </xf>
    <xf numFmtId="0" fontId="36" fillId="0" borderId="39" xfId="0" applyFont="1" applyBorder="1" applyAlignment="1">
      <alignment horizontal="center" vertical="center"/>
    </xf>
    <xf numFmtId="0" fontId="36" fillId="0" borderId="40" xfId="0" applyFont="1" applyBorder="1" applyAlignment="1">
      <alignment horizontal="center" vertical="center"/>
    </xf>
    <xf numFmtId="0" fontId="18" fillId="2" borderId="36" xfId="0" applyFont="1" applyFill="1" applyBorder="1" applyAlignment="1">
      <alignment horizontal="center" vertical="center" wrapText="1"/>
    </xf>
    <xf numFmtId="0" fontId="18" fillId="2" borderId="37" xfId="0" applyFont="1" applyFill="1" applyBorder="1" applyAlignment="1">
      <alignment horizontal="center" vertical="center" wrapText="1"/>
    </xf>
    <xf numFmtId="0" fontId="18" fillId="2" borderId="14" xfId="0" applyFont="1" applyFill="1" applyBorder="1" applyAlignment="1">
      <alignment horizontal="center" vertical="center" wrapText="1"/>
    </xf>
    <xf numFmtId="0" fontId="18" fillId="2" borderId="39" xfId="0" applyFont="1" applyFill="1" applyBorder="1" applyAlignment="1">
      <alignment horizontal="center" vertical="center" wrapText="1"/>
    </xf>
    <xf numFmtId="14" fontId="38" fillId="0" borderId="16" xfId="0" applyNumberFormat="1" applyFont="1" applyBorder="1" applyAlignment="1">
      <alignment horizontal="left" vertical="center" wrapText="1"/>
    </xf>
    <xf numFmtId="0" fontId="38" fillId="0" borderId="17" xfId="0" applyFont="1" applyBorder="1" applyAlignment="1">
      <alignment horizontal="left" vertical="center" wrapText="1"/>
    </xf>
    <xf numFmtId="0" fontId="38" fillId="0" borderId="41" xfId="0" applyFont="1" applyBorder="1" applyAlignment="1">
      <alignment horizontal="left" vertical="center" wrapText="1"/>
    </xf>
    <xf numFmtId="0" fontId="18" fillId="2" borderId="11" xfId="49" applyFont="1" applyFill="1" applyBorder="1" applyAlignment="1">
      <alignment horizontal="center" vertical="center" wrapText="1"/>
    </xf>
    <xf numFmtId="0" fontId="18" fillId="2" borderId="19" xfId="49" applyFont="1" applyFill="1" applyBorder="1" applyAlignment="1">
      <alignment horizontal="center" vertical="center" wrapText="1"/>
    </xf>
    <xf numFmtId="0" fontId="18" fillId="2" borderId="8" xfId="49" applyFont="1" applyFill="1" applyBorder="1" applyAlignment="1">
      <alignment horizontal="center"/>
    </xf>
    <xf numFmtId="0" fontId="18" fillId="2" borderId="15" xfId="49" applyFont="1" applyFill="1" applyBorder="1" applyAlignment="1">
      <alignment horizontal="center"/>
    </xf>
    <xf numFmtId="0" fontId="18" fillId="2" borderId="9" xfId="49" applyFont="1" applyFill="1" applyBorder="1" applyAlignment="1">
      <alignment horizontal="center"/>
    </xf>
    <xf numFmtId="0" fontId="18" fillId="2" borderId="8" xfId="49" applyFont="1" applyFill="1" applyBorder="1" applyAlignment="1">
      <alignment horizontal="center" vertical="center" wrapText="1"/>
    </xf>
    <xf numFmtId="0" fontId="18" fillId="2" borderId="15" xfId="49" applyFont="1" applyFill="1" applyBorder="1" applyAlignment="1">
      <alignment horizontal="center" vertical="center" wrapText="1"/>
    </xf>
    <xf numFmtId="0" fontId="18" fillId="2" borderId="9" xfId="49" applyFont="1" applyFill="1" applyBorder="1" applyAlignment="1">
      <alignment horizontal="center" vertical="center" wrapText="1"/>
    </xf>
    <xf numFmtId="0" fontId="18" fillId="2" borderId="21" xfId="49" applyFont="1" applyFill="1" applyBorder="1" applyAlignment="1">
      <alignment horizontal="center"/>
    </xf>
    <xf numFmtId="0" fontId="18" fillId="2" borderId="20" xfId="49" applyFont="1" applyFill="1" applyBorder="1" applyAlignment="1">
      <alignment horizontal="center"/>
    </xf>
    <xf numFmtId="0" fontId="18" fillId="2" borderId="12" xfId="49" applyFont="1" applyFill="1" applyBorder="1" applyAlignment="1">
      <alignment horizontal="center" vertical="center"/>
    </xf>
    <xf numFmtId="0" fontId="18" fillId="2" borderId="13" xfId="49" applyFont="1" applyFill="1" applyBorder="1" applyAlignment="1">
      <alignment horizontal="center" vertical="center"/>
    </xf>
    <xf numFmtId="0" fontId="18" fillId="2" borderId="10" xfId="49" applyFont="1" applyFill="1" applyBorder="1" applyAlignment="1">
      <alignment horizontal="center" vertical="center"/>
    </xf>
    <xf numFmtId="0" fontId="18" fillId="2" borderId="4" xfId="49" applyFont="1" applyFill="1" applyBorder="1" applyAlignment="1">
      <alignment horizontal="center" vertical="center"/>
    </xf>
    <xf numFmtId="0" fontId="18" fillId="2" borderId="0" xfId="49" applyFont="1" applyFill="1" applyAlignment="1">
      <alignment horizontal="center" vertical="center"/>
    </xf>
    <xf numFmtId="0" fontId="18" fillId="2" borderId="3" xfId="49" applyFont="1" applyFill="1" applyBorder="1" applyAlignment="1">
      <alignment horizontal="center" vertical="center"/>
    </xf>
    <xf numFmtId="0" fontId="18" fillId="2" borderId="5" xfId="49" applyFont="1" applyFill="1" applyBorder="1" applyAlignment="1">
      <alignment horizontal="center" vertical="center"/>
    </xf>
    <xf numFmtId="0" fontId="18" fillId="2" borderId="6" xfId="49" applyFont="1" applyFill="1" applyBorder="1" applyAlignment="1">
      <alignment horizontal="center" vertical="center"/>
    </xf>
    <xf numFmtId="0" fontId="18" fillId="2" borderId="7" xfId="49" applyFont="1" applyFill="1" applyBorder="1" applyAlignment="1">
      <alignment horizontal="center" vertical="center"/>
    </xf>
    <xf numFmtId="0" fontId="19" fillId="2" borderId="5" xfId="49" applyFont="1" applyFill="1" applyBorder="1" applyAlignment="1">
      <alignment horizontal="center" vertical="center" wrapText="1"/>
    </xf>
    <xf numFmtId="0" fontId="18" fillId="2" borderId="7" xfId="49" applyFont="1" applyFill="1" applyBorder="1" applyAlignment="1">
      <alignment horizontal="center" vertical="center" wrapText="1"/>
    </xf>
    <xf numFmtId="0" fontId="18" fillId="2" borderId="12" xfId="49" applyFont="1" applyFill="1" applyBorder="1" applyAlignment="1">
      <alignment horizontal="center"/>
    </xf>
    <xf numFmtId="0" fontId="19" fillId="2" borderId="13" xfId="49" applyFont="1" applyFill="1" applyBorder="1" applyAlignment="1">
      <alignment horizontal="center"/>
    </xf>
    <xf numFmtId="0" fontId="19" fillId="2" borderId="10" xfId="49" applyFont="1" applyFill="1" applyBorder="1" applyAlignment="1">
      <alignment horizontal="center"/>
    </xf>
  </cellXfs>
  <cellStyles count="139">
    <cellStyle name="Comma [0]_Worksheet in L-0016" xfId="15" xr:uid="{00000000-0005-0000-0000-000000000000}"/>
    <cellStyle name="Millares 2" xfId="5" xr:uid="{00000000-0005-0000-0000-000001000000}"/>
    <cellStyle name="Millares 2 2" xfId="16" xr:uid="{00000000-0005-0000-0000-000002000000}"/>
    <cellStyle name="Millares 2 3" xfId="35" xr:uid="{00000000-0005-0000-0000-000003000000}"/>
    <cellStyle name="Millares 2 3 2" xfId="52" xr:uid="{00000000-0005-0000-0000-000004000000}"/>
    <cellStyle name="Millares 2 3 3" xfId="53" xr:uid="{00000000-0005-0000-0000-000005000000}"/>
    <cellStyle name="Millares 2 4" xfId="54" xr:uid="{00000000-0005-0000-0000-000006000000}"/>
    <cellStyle name="Millares 2 5" xfId="55" xr:uid="{00000000-0005-0000-0000-000007000000}"/>
    <cellStyle name="Millares 2 6" xfId="56" xr:uid="{00000000-0005-0000-0000-000008000000}"/>
    <cellStyle name="Millares 3" xfId="9" xr:uid="{00000000-0005-0000-0000-000009000000}"/>
    <cellStyle name="Millares 3 2" xfId="39" xr:uid="{00000000-0005-0000-0000-00000A000000}"/>
    <cellStyle name="Millares 3 2 2" xfId="57" xr:uid="{00000000-0005-0000-0000-00000B000000}"/>
    <cellStyle name="Millares 3 2 3" xfId="58" xr:uid="{00000000-0005-0000-0000-00000C000000}"/>
    <cellStyle name="Millares 3 3" xfId="59" xr:uid="{00000000-0005-0000-0000-00000D000000}"/>
    <cellStyle name="Millares 3 4" xfId="60" xr:uid="{00000000-0005-0000-0000-00000E000000}"/>
    <cellStyle name="Millares 4" xfId="17" xr:uid="{00000000-0005-0000-0000-00000F000000}"/>
    <cellStyle name="Millares 4 2" xfId="45" xr:uid="{00000000-0005-0000-0000-000010000000}"/>
    <cellStyle name="Millares 4 2 2" xfId="61" xr:uid="{00000000-0005-0000-0000-000011000000}"/>
    <cellStyle name="Millares 4 2 3" xfId="62" xr:uid="{00000000-0005-0000-0000-000012000000}"/>
    <cellStyle name="Millares 4 3" xfId="63" xr:uid="{00000000-0005-0000-0000-000013000000}"/>
    <cellStyle name="Millares 4 4" xfId="64" xr:uid="{00000000-0005-0000-0000-000014000000}"/>
    <cellStyle name="Millares 5" xfId="18" xr:uid="{00000000-0005-0000-0000-000015000000}"/>
    <cellStyle name="Millares 6" xfId="22" xr:uid="{00000000-0005-0000-0000-000016000000}"/>
    <cellStyle name="Millares 6 2" xfId="47" xr:uid="{00000000-0005-0000-0000-000017000000}"/>
    <cellStyle name="Millares 6 2 2" xfId="65" xr:uid="{00000000-0005-0000-0000-000018000000}"/>
    <cellStyle name="Millares 6 2 3" xfId="66" xr:uid="{00000000-0005-0000-0000-000019000000}"/>
    <cellStyle name="Millares 6 3" xfId="67" xr:uid="{00000000-0005-0000-0000-00001A000000}"/>
    <cellStyle name="Millares 6 4" xfId="68" xr:uid="{00000000-0005-0000-0000-00001B000000}"/>
    <cellStyle name="Moneda 2" xfId="4" xr:uid="{00000000-0005-0000-0000-00001C000000}"/>
    <cellStyle name="Moneda 2 2" xfId="34" xr:uid="{00000000-0005-0000-0000-00001D000000}"/>
    <cellStyle name="Moneda 2 2 2" xfId="69" xr:uid="{00000000-0005-0000-0000-00001E000000}"/>
    <cellStyle name="Moneda 2 2 3" xfId="70" xr:uid="{00000000-0005-0000-0000-00001F000000}"/>
    <cellStyle name="Moneda 2 3" xfId="71" xr:uid="{00000000-0005-0000-0000-000020000000}"/>
    <cellStyle name="Moneda 2 4" xfId="72" xr:uid="{00000000-0005-0000-0000-000021000000}"/>
    <cellStyle name="Moneda 3" xfId="8" xr:uid="{00000000-0005-0000-0000-000022000000}"/>
    <cellStyle name="Moneda 3 2" xfId="38" xr:uid="{00000000-0005-0000-0000-000023000000}"/>
    <cellStyle name="Moneda 3 2 2" xfId="73" xr:uid="{00000000-0005-0000-0000-000024000000}"/>
    <cellStyle name="Moneda 3 2 3" xfId="74" xr:uid="{00000000-0005-0000-0000-000025000000}"/>
    <cellStyle name="Moneda 3 3" xfId="75" xr:uid="{00000000-0005-0000-0000-000026000000}"/>
    <cellStyle name="Moneda 3 4" xfId="76" xr:uid="{00000000-0005-0000-0000-000027000000}"/>
    <cellStyle name="Moneda 4" xfId="77" xr:uid="{00000000-0005-0000-0000-000028000000}"/>
    <cellStyle name="Moneda 5" xfId="78" xr:uid="{00000000-0005-0000-0000-000029000000}"/>
    <cellStyle name="Normal" xfId="0" builtinId="0"/>
    <cellStyle name="Normal 10" xfId="24" xr:uid="{00000000-0005-0000-0000-00002B000000}"/>
    <cellStyle name="Normal 10 2" xfId="48" xr:uid="{00000000-0005-0000-0000-00002C000000}"/>
    <cellStyle name="Normal 10 2 2" xfId="79" xr:uid="{00000000-0005-0000-0000-00002D000000}"/>
    <cellStyle name="Normal 10 2 3" xfId="80" xr:uid="{00000000-0005-0000-0000-00002E000000}"/>
    <cellStyle name="Normal 10 3" xfId="51" xr:uid="{00000000-0005-0000-0000-00002F000000}"/>
    <cellStyle name="Normal 10 4" xfId="81" xr:uid="{00000000-0005-0000-0000-000030000000}"/>
    <cellStyle name="Normal 11" xfId="29" xr:uid="{00000000-0005-0000-0000-000031000000}"/>
    <cellStyle name="Normal 11 2" xfId="82" xr:uid="{00000000-0005-0000-0000-000032000000}"/>
    <cellStyle name="Normal 11 3" xfId="83" xr:uid="{00000000-0005-0000-0000-000033000000}"/>
    <cellStyle name="Normal 12" xfId="84" xr:uid="{00000000-0005-0000-0000-000034000000}"/>
    <cellStyle name="Normal 12 2" xfId="85" xr:uid="{00000000-0005-0000-0000-000035000000}"/>
    <cellStyle name="Normal 12 3" xfId="86" xr:uid="{00000000-0005-0000-0000-000036000000}"/>
    <cellStyle name="Normal 13" xfId="138" xr:uid="{00000000-0005-0000-0000-000037000000}"/>
    <cellStyle name="Normal 2" xfId="2" xr:uid="{00000000-0005-0000-0000-000038000000}"/>
    <cellStyle name="Normal 2 2" xfId="12" xr:uid="{00000000-0005-0000-0000-000039000000}"/>
    <cellStyle name="Normal 2 2 2" xfId="42" xr:uid="{00000000-0005-0000-0000-00003A000000}"/>
    <cellStyle name="Normal 2 2 2 2" xfId="87" xr:uid="{00000000-0005-0000-0000-00003B000000}"/>
    <cellStyle name="Normal 2 2 2 3" xfId="88" xr:uid="{00000000-0005-0000-0000-00003C000000}"/>
    <cellStyle name="Normal 2 2 3" xfId="89" xr:uid="{00000000-0005-0000-0000-00003D000000}"/>
    <cellStyle name="Normal 2 2 4" xfId="90" xr:uid="{00000000-0005-0000-0000-00003E000000}"/>
    <cellStyle name="Normal 2 3" xfId="1" xr:uid="{00000000-0005-0000-0000-00003F000000}"/>
    <cellStyle name="Normal 2 3 2" xfId="31" xr:uid="{00000000-0005-0000-0000-000040000000}"/>
    <cellStyle name="Normal 2 3 2 2" xfId="91" xr:uid="{00000000-0005-0000-0000-000041000000}"/>
    <cellStyle name="Normal 2 3 2 3" xfId="92" xr:uid="{00000000-0005-0000-0000-000042000000}"/>
    <cellStyle name="Normal 2 3 3" xfId="93" xr:uid="{00000000-0005-0000-0000-000043000000}"/>
    <cellStyle name="Normal 2 3 4" xfId="94" xr:uid="{00000000-0005-0000-0000-000044000000}"/>
    <cellStyle name="Normal 2 4" xfId="23" xr:uid="{00000000-0005-0000-0000-000045000000}"/>
    <cellStyle name="Normal 2 5" xfId="28" xr:uid="{00000000-0005-0000-0000-000046000000}"/>
    <cellStyle name="Normal 2 6" xfId="32" xr:uid="{00000000-0005-0000-0000-000047000000}"/>
    <cellStyle name="Normal 2 6 2" xfId="95" xr:uid="{00000000-0005-0000-0000-000048000000}"/>
    <cellStyle name="Normal 2 6 3" xfId="96" xr:uid="{00000000-0005-0000-0000-000049000000}"/>
    <cellStyle name="Normal 3" xfId="6" xr:uid="{00000000-0005-0000-0000-00004A000000}"/>
    <cellStyle name="Normal 3 2" xfId="36" xr:uid="{00000000-0005-0000-0000-00004B000000}"/>
    <cellStyle name="Normal 3 2 2" xfId="97" xr:uid="{00000000-0005-0000-0000-00004C000000}"/>
    <cellStyle name="Normal 3 2 3" xfId="98" xr:uid="{00000000-0005-0000-0000-00004D000000}"/>
    <cellStyle name="Normal 3 3" xfId="99" xr:uid="{00000000-0005-0000-0000-00004E000000}"/>
    <cellStyle name="Normal 3 4" xfId="100" xr:uid="{00000000-0005-0000-0000-00004F000000}"/>
    <cellStyle name="Normal 4" xfId="10" xr:uid="{00000000-0005-0000-0000-000050000000}"/>
    <cellStyle name="Normal 4 2" xfId="13" xr:uid="{00000000-0005-0000-0000-000051000000}"/>
    <cellStyle name="Normal 4 2 2" xfId="43" xr:uid="{00000000-0005-0000-0000-000052000000}"/>
    <cellStyle name="Normal 4 2 2 2" xfId="101" xr:uid="{00000000-0005-0000-0000-000053000000}"/>
    <cellStyle name="Normal 4 2 2 3" xfId="102" xr:uid="{00000000-0005-0000-0000-000054000000}"/>
    <cellStyle name="Normal 4 2 3" xfId="103" xr:uid="{00000000-0005-0000-0000-000055000000}"/>
    <cellStyle name="Normal 4 2 4" xfId="104" xr:uid="{00000000-0005-0000-0000-000056000000}"/>
    <cellStyle name="Normal 4 3" xfId="40" xr:uid="{00000000-0005-0000-0000-000057000000}"/>
    <cellStyle name="Normal 4 3 2" xfId="105" xr:uid="{00000000-0005-0000-0000-000058000000}"/>
    <cellStyle name="Normal 4 3 3" xfId="106" xr:uid="{00000000-0005-0000-0000-000059000000}"/>
    <cellStyle name="Normal 4 4" xfId="107" xr:uid="{00000000-0005-0000-0000-00005A000000}"/>
    <cellStyle name="Normal 4 5" xfId="108" xr:uid="{00000000-0005-0000-0000-00005B000000}"/>
    <cellStyle name="Normal 4 6" xfId="109" xr:uid="{00000000-0005-0000-0000-00005C000000}"/>
    <cellStyle name="Normal 5" xfId="11" xr:uid="{00000000-0005-0000-0000-00005D000000}"/>
    <cellStyle name="Normal 5 2" xfId="14" xr:uid="{00000000-0005-0000-0000-00005E000000}"/>
    <cellStyle name="Normal 5 2 2" xfId="44" xr:uid="{00000000-0005-0000-0000-00005F000000}"/>
    <cellStyle name="Normal 5 2 2 2" xfId="110" xr:uid="{00000000-0005-0000-0000-000060000000}"/>
    <cellStyle name="Normal 5 2 2 3" xfId="111" xr:uid="{00000000-0005-0000-0000-000061000000}"/>
    <cellStyle name="Normal 5 2 3" xfId="112" xr:uid="{00000000-0005-0000-0000-000062000000}"/>
    <cellStyle name="Normal 5 2 4" xfId="113" xr:uid="{00000000-0005-0000-0000-000063000000}"/>
    <cellStyle name="Normal 5 3" xfId="41" xr:uid="{00000000-0005-0000-0000-000064000000}"/>
    <cellStyle name="Normal 5 3 2" xfId="114" xr:uid="{00000000-0005-0000-0000-000065000000}"/>
    <cellStyle name="Normal 5 3 3" xfId="115" xr:uid="{00000000-0005-0000-0000-000066000000}"/>
    <cellStyle name="Normal 5 4" xfId="116" xr:uid="{00000000-0005-0000-0000-000067000000}"/>
    <cellStyle name="Normal 5 5" xfId="117" xr:uid="{00000000-0005-0000-0000-000068000000}"/>
    <cellStyle name="Normal 6" xfId="19" xr:uid="{00000000-0005-0000-0000-000069000000}"/>
    <cellStyle name="Normal 7" xfId="21" xr:uid="{00000000-0005-0000-0000-00006A000000}"/>
    <cellStyle name="Normal 7 2" xfId="46" xr:uid="{00000000-0005-0000-0000-00006B000000}"/>
    <cellStyle name="Normal 7 2 2" xfId="118" xr:uid="{00000000-0005-0000-0000-00006C000000}"/>
    <cellStyle name="Normal 7 2 3" xfId="119" xr:uid="{00000000-0005-0000-0000-00006D000000}"/>
    <cellStyle name="Normal 7 3" xfId="120" xr:uid="{00000000-0005-0000-0000-00006E000000}"/>
    <cellStyle name="Normal 7 4" xfId="121" xr:uid="{00000000-0005-0000-0000-00006F000000}"/>
    <cellStyle name="Normal 8" xfId="27" xr:uid="{00000000-0005-0000-0000-000070000000}"/>
    <cellStyle name="Normal 8 2" xfId="25" xr:uid="{00000000-0005-0000-0000-000071000000}"/>
    <cellStyle name="Normal 8 2 2" xfId="49" xr:uid="{00000000-0005-0000-0000-000072000000}"/>
    <cellStyle name="Normal 8 3" xfId="50" xr:uid="{00000000-0005-0000-0000-000073000000}"/>
    <cellStyle name="Normal 8 3 2" xfId="122" xr:uid="{00000000-0005-0000-0000-000074000000}"/>
    <cellStyle name="Normal 8 3 3" xfId="123" xr:uid="{00000000-0005-0000-0000-000075000000}"/>
    <cellStyle name="Normal 8 4" xfId="124" xr:uid="{00000000-0005-0000-0000-000076000000}"/>
    <cellStyle name="Normal 8 5" xfId="125" xr:uid="{00000000-0005-0000-0000-000077000000}"/>
    <cellStyle name="Normal 9" xfId="30" xr:uid="{00000000-0005-0000-0000-000078000000}"/>
    <cellStyle name="Notas 2" xfId="134" xr:uid="{00000000-0005-0000-0000-000079000000}"/>
    <cellStyle name="Porcentaje 2" xfId="3" xr:uid="{00000000-0005-0000-0000-00007A000000}"/>
    <cellStyle name="Porcentaje 2 2" xfId="33" xr:uid="{00000000-0005-0000-0000-00007B000000}"/>
    <cellStyle name="Porcentaje 2 2 2" xfId="126" xr:uid="{00000000-0005-0000-0000-00007C000000}"/>
    <cellStyle name="Porcentaje 2 2 3" xfId="127" xr:uid="{00000000-0005-0000-0000-00007D000000}"/>
    <cellStyle name="Porcentaje 2 3" xfId="128" xr:uid="{00000000-0005-0000-0000-00007E000000}"/>
    <cellStyle name="Porcentaje 2 4" xfId="129" xr:uid="{00000000-0005-0000-0000-00007F000000}"/>
    <cellStyle name="Porcentaje 3" xfId="7" xr:uid="{00000000-0005-0000-0000-000080000000}"/>
    <cellStyle name="Porcentaje 3 2" xfId="37" xr:uid="{00000000-0005-0000-0000-000081000000}"/>
    <cellStyle name="Porcentaje 3 2 2" xfId="130" xr:uid="{00000000-0005-0000-0000-000082000000}"/>
    <cellStyle name="Porcentaje 3 2 3" xfId="131" xr:uid="{00000000-0005-0000-0000-000083000000}"/>
    <cellStyle name="Porcentaje 3 3" xfId="132" xr:uid="{00000000-0005-0000-0000-000084000000}"/>
    <cellStyle name="Porcentaje 3 4" xfId="133" xr:uid="{00000000-0005-0000-0000-000085000000}"/>
    <cellStyle name="Porcentaje 4" xfId="26" xr:uid="{00000000-0005-0000-0000-000086000000}"/>
    <cellStyle name="Porcentaje 5" xfId="135" xr:uid="{00000000-0005-0000-0000-000087000000}"/>
    <cellStyle name="Porcentaje 5 2" xfId="136" xr:uid="{00000000-0005-0000-0000-000088000000}"/>
    <cellStyle name="Porcentaje 6" xfId="137" xr:uid="{00000000-0005-0000-0000-000089000000}"/>
    <cellStyle name="Porcentual 2" xfId="20" xr:uid="{00000000-0005-0000-0000-00008A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D5B2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B1:F13"/>
  <sheetViews>
    <sheetView zoomScale="90" zoomScaleNormal="90" workbookViewId="0">
      <selection activeCell="E11" sqref="E11:F11"/>
    </sheetView>
  </sheetViews>
  <sheetFormatPr baseColWidth="10" defaultColWidth="11.44140625" defaultRowHeight="13.2" x14ac:dyDescent="0.25"/>
  <cols>
    <col min="2" max="2" width="15.33203125" customWidth="1"/>
    <col min="3" max="3" width="20.88671875" customWidth="1"/>
    <col min="4" max="4" width="19.109375" customWidth="1"/>
    <col min="6" max="6" width="35.109375" customWidth="1"/>
    <col min="253" max="253" width="15.33203125" customWidth="1"/>
    <col min="254" max="254" width="20.88671875" customWidth="1"/>
    <col min="255" max="255" width="19.109375" customWidth="1"/>
    <col min="257" max="257" width="35.109375" customWidth="1"/>
    <col min="509" max="509" width="15.33203125" customWidth="1"/>
    <col min="510" max="510" width="20.88671875" customWidth="1"/>
    <col min="511" max="511" width="19.109375" customWidth="1"/>
    <col min="513" max="513" width="35.109375" customWidth="1"/>
    <col min="765" max="765" width="15.33203125" customWidth="1"/>
    <col min="766" max="766" width="20.88671875" customWidth="1"/>
    <col min="767" max="767" width="19.109375" customWidth="1"/>
    <col min="769" max="769" width="35.109375" customWidth="1"/>
    <col min="1021" max="1021" width="15.33203125" customWidth="1"/>
    <col min="1022" max="1022" width="20.88671875" customWidth="1"/>
    <col min="1023" max="1023" width="19.109375" customWidth="1"/>
    <col min="1025" max="1025" width="35.109375" customWidth="1"/>
    <col min="1277" max="1277" width="15.33203125" customWidth="1"/>
    <col min="1278" max="1278" width="20.88671875" customWidth="1"/>
    <col min="1279" max="1279" width="19.109375" customWidth="1"/>
    <col min="1281" max="1281" width="35.109375" customWidth="1"/>
    <col min="1533" max="1533" width="15.33203125" customWidth="1"/>
    <col min="1534" max="1534" width="20.88671875" customWidth="1"/>
    <col min="1535" max="1535" width="19.109375" customWidth="1"/>
    <col min="1537" max="1537" width="35.109375" customWidth="1"/>
    <col min="1789" max="1789" width="15.33203125" customWidth="1"/>
    <col min="1790" max="1790" width="20.88671875" customWidth="1"/>
    <col min="1791" max="1791" width="19.109375" customWidth="1"/>
    <col min="1793" max="1793" width="35.109375" customWidth="1"/>
    <col min="2045" max="2045" width="15.33203125" customWidth="1"/>
    <col min="2046" max="2046" width="20.88671875" customWidth="1"/>
    <col min="2047" max="2047" width="19.109375" customWidth="1"/>
    <col min="2049" max="2049" width="35.109375" customWidth="1"/>
    <col min="2301" max="2301" width="15.33203125" customWidth="1"/>
    <col min="2302" max="2302" width="20.88671875" customWidth="1"/>
    <col min="2303" max="2303" width="19.109375" customWidth="1"/>
    <col min="2305" max="2305" width="35.109375" customWidth="1"/>
    <col min="2557" max="2557" width="15.33203125" customWidth="1"/>
    <col min="2558" max="2558" width="20.88671875" customWidth="1"/>
    <col min="2559" max="2559" width="19.109375" customWidth="1"/>
    <col min="2561" max="2561" width="35.109375" customWidth="1"/>
    <col min="2813" max="2813" width="15.33203125" customWidth="1"/>
    <col min="2814" max="2814" width="20.88671875" customWidth="1"/>
    <col min="2815" max="2815" width="19.109375" customWidth="1"/>
    <col min="2817" max="2817" width="35.109375" customWidth="1"/>
    <col min="3069" max="3069" width="15.33203125" customWidth="1"/>
    <col min="3070" max="3070" width="20.88671875" customWidth="1"/>
    <col min="3071" max="3071" width="19.109375" customWidth="1"/>
    <col min="3073" max="3073" width="35.109375" customWidth="1"/>
    <col min="3325" max="3325" width="15.33203125" customWidth="1"/>
    <col min="3326" max="3326" width="20.88671875" customWidth="1"/>
    <col min="3327" max="3327" width="19.109375" customWidth="1"/>
    <col min="3329" max="3329" width="35.109375" customWidth="1"/>
    <col min="3581" max="3581" width="15.33203125" customWidth="1"/>
    <col min="3582" max="3582" width="20.88671875" customWidth="1"/>
    <col min="3583" max="3583" width="19.109375" customWidth="1"/>
    <col min="3585" max="3585" width="35.109375" customWidth="1"/>
    <col min="3837" max="3837" width="15.33203125" customWidth="1"/>
    <col min="3838" max="3838" width="20.88671875" customWidth="1"/>
    <col min="3839" max="3839" width="19.109375" customWidth="1"/>
    <col min="3841" max="3841" width="35.109375" customWidth="1"/>
    <col min="4093" max="4093" width="15.33203125" customWidth="1"/>
    <col min="4094" max="4094" width="20.88671875" customWidth="1"/>
    <col min="4095" max="4095" width="19.109375" customWidth="1"/>
    <col min="4097" max="4097" width="35.109375" customWidth="1"/>
    <col min="4349" max="4349" width="15.33203125" customWidth="1"/>
    <col min="4350" max="4350" width="20.88671875" customWidth="1"/>
    <col min="4351" max="4351" width="19.109375" customWidth="1"/>
    <col min="4353" max="4353" width="35.109375" customWidth="1"/>
    <col min="4605" max="4605" width="15.33203125" customWidth="1"/>
    <col min="4606" max="4606" width="20.88671875" customWidth="1"/>
    <col min="4607" max="4607" width="19.109375" customWidth="1"/>
    <col min="4609" max="4609" width="35.109375" customWidth="1"/>
    <col min="4861" max="4861" width="15.33203125" customWidth="1"/>
    <col min="4862" max="4862" width="20.88671875" customWidth="1"/>
    <col min="4863" max="4863" width="19.109375" customWidth="1"/>
    <col min="4865" max="4865" width="35.109375" customWidth="1"/>
    <col min="5117" max="5117" width="15.33203125" customWidth="1"/>
    <col min="5118" max="5118" width="20.88671875" customWidth="1"/>
    <col min="5119" max="5119" width="19.109375" customWidth="1"/>
    <col min="5121" max="5121" width="35.109375" customWidth="1"/>
    <col min="5373" max="5373" width="15.33203125" customWidth="1"/>
    <col min="5374" max="5374" width="20.88671875" customWidth="1"/>
    <col min="5375" max="5375" width="19.109375" customWidth="1"/>
    <col min="5377" max="5377" width="35.109375" customWidth="1"/>
    <col min="5629" max="5629" width="15.33203125" customWidth="1"/>
    <col min="5630" max="5630" width="20.88671875" customWidth="1"/>
    <col min="5631" max="5631" width="19.109375" customWidth="1"/>
    <col min="5633" max="5633" width="35.109375" customWidth="1"/>
    <col min="5885" max="5885" width="15.33203125" customWidth="1"/>
    <col min="5886" max="5886" width="20.88671875" customWidth="1"/>
    <col min="5887" max="5887" width="19.109375" customWidth="1"/>
    <col min="5889" max="5889" width="35.109375" customWidth="1"/>
    <col min="6141" max="6141" width="15.33203125" customWidth="1"/>
    <col min="6142" max="6142" width="20.88671875" customWidth="1"/>
    <col min="6143" max="6143" width="19.109375" customWidth="1"/>
    <col min="6145" max="6145" width="35.109375" customWidth="1"/>
    <col min="6397" max="6397" width="15.33203125" customWidth="1"/>
    <col min="6398" max="6398" width="20.88671875" customWidth="1"/>
    <col min="6399" max="6399" width="19.109375" customWidth="1"/>
    <col min="6401" max="6401" width="35.109375" customWidth="1"/>
    <col min="6653" max="6653" width="15.33203125" customWidth="1"/>
    <col min="6654" max="6654" width="20.88671875" customWidth="1"/>
    <col min="6655" max="6655" width="19.109375" customWidth="1"/>
    <col min="6657" max="6657" width="35.109375" customWidth="1"/>
    <col min="6909" max="6909" width="15.33203125" customWidth="1"/>
    <col min="6910" max="6910" width="20.88671875" customWidth="1"/>
    <col min="6911" max="6911" width="19.109375" customWidth="1"/>
    <col min="6913" max="6913" width="35.109375" customWidth="1"/>
    <col min="7165" max="7165" width="15.33203125" customWidth="1"/>
    <col min="7166" max="7166" width="20.88671875" customWidth="1"/>
    <col min="7167" max="7167" width="19.109375" customWidth="1"/>
    <col min="7169" max="7169" width="35.109375" customWidth="1"/>
    <col min="7421" max="7421" width="15.33203125" customWidth="1"/>
    <col min="7422" max="7422" width="20.88671875" customWidth="1"/>
    <col min="7423" max="7423" width="19.109375" customWidth="1"/>
    <col min="7425" max="7425" width="35.109375" customWidth="1"/>
    <col min="7677" max="7677" width="15.33203125" customWidth="1"/>
    <col min="7678" max="7678" width="20.88671875" customWidth="1"/>
    <col min="7679" max="7679" width="19.109375" customWidth="1"/>
    <col min="7681" max="7681" width="35.109375" customWidth="1"/>
    <col min="7933" max="7933" width="15.33203125" customWidth="1"/>
    <col min="7934" max="7934" width="20.88671875" customWidth="1"/>
    <col min="7935" max="7935" width="19.109375" customWidth="1"/>
    <col min="7937" max="7937" width="35.109375" customWidth="1"/>
    <col min="8189" max="8189" width="15.33203125" customWidth="1"/>
    <col min="8190" max="8190" width="20.88671875" customWidth="1"/>
    <col min="8191" max="8191" width="19.109375" customWidth="1"/>
    <col min="8193" max="8193" width="35.109375" customWidth="1"/>
    <col min="8445" max="8445" width="15.33203125" customWidth="1"/>
    <col min="8446" max="8446" width="20.88671875" customWidth="1"/>
    <col min="8447" max="8447" width="19.109375" customWidth="1"/>
    <col min="8449" max="8449" width="35.109375" customWidth="1"/>
    <col min="8701" max="8701" width="15.33203125" customWidth="1"/>
    <col min="8702" max="8702" width="20.88671875" customWidth="1"/>
    <col min="8703" max="8703" width="19.109375" customWidth="1"/>
    <col min="8705" max="8705" width="35.109375" customWidth="1"/>
    <col min="8957" max="8957" width="15.33203125" customWidth="1"/>
    <col min="8958" max="8958" width="20.88671875" customWidth="1"/>
    <col min="8959" max="8959" width="19.109375" customWidth="1"/>
    <col min="8961" max="8961" width="35.109375" customWidth="1"/>
    <col min="9213" max="9213" width="15.33203125" customWidth="1"/>
    <col min="9214" max="9214" width="20.88671875" customWidth="1"/>
    <col min="9215" max="9215" width="19.109375" customWidth="1"/>
    <col min="9217" max="9217" width="35.109375" customWidth="1"/>
    <col min="9469" max="9469" width="15.33203125" customWidth="1"/>
    <col min="9470" max="9470" width="20.88671875" customWidth="1"/>
    <col min="9471" max="9471" width="19.109375" customWidth="1"/>
    <col min="9473" max="9473" width="35.109375" customWidth="1"/>
    <col min="9725" max="9725" width="15.33203125" customWidth="1"/>
    <col min="9726" max="9726" width="20.88671875" customWidth="1"/>
    <col min="9727" max="9727" width="19.109375" customWidth="1"/>
    <col min="9729" max="9729" width="35.109375" customWidth="1"/>
    <col min="9981" max="9981" width="15.33203125" customWidth="1"/>
    <col min="9982" max="9982" width="20.88671875" customWidth="1"/>
    <col min="9983" max="9983" width="19.109375" customWidth="1"/>
    <col min="9985" max="9985" width="35.109375" customWidth="1"/>
    <col min="10237" max="10237" width="15.33203125" customWidth="1"/>
    <col min="10238" max="10238" width="20.88671875" customWidth="1"/>
    <col min="10239" max="10239" width="19.109375" customWidth="1"/>
    <col min="10241" max="10241" width="35.109375" customWidth="1"/>
    <col min="10493" max="10493" width="15.33203125" customWidth="1"/>
    <col min="10494" max="10494" width="20.88671875" customWidth="1"/>
    <col min="10495" max="10495" width="19.109375" customWidth="1"/>
    <col min="10497" max="10497" width="35.109375" customWidth="1"/>
    <col min="10749" max="10749" width="15.33203125" customWidth="1"/>
    <col min="10750" max="10750" width="20.88671875" customWidth="1"/>
    <col min="10751" max="10751" width="19.109375" customWidth="1"/>
    <col min="10753" max="10753" width="35.109375" customWidth="1"/>
    <col min="11005" max="11005" width="15.33203125" customWidth="1"/>
    <col min="11006" max="11006" width="20.88671875" customWidth="1"/>
    <col min="11007" max="11007" width="19.109375" customWidth="1"/>
    <col min="11009" max="11009" width="35.109375" customWidth="1"/>
    <col min="11261" max="11261" width="15.33203125" customWidth="1"/>
    <col min="11262" max="11262" width="20.88671875" customWidth="1"/>
    <col min="11263" max="11263" width="19.109375" customWidth="1"/>
    <col min="11265" max="11265" width="35.109375" customWidth="1"/>
    <col min="11517" max="11517" width="15.33203125" customWidth="1"/>
    <col min="11518" max="11518" width="20.88671875" customWidth="1"/>
    <col min="11519" max="11519" width="19.109375" customWidth="1"/>
    <col min="11521" max="11521" width="35.109375" customWidth="1"/>
    <col min="11773" max="11773" width="15.33203125" customWidth="1"/>
    <col min="11774" max="11774" width="20.88671875" customWidth="1"/>
    <col min="11775" max="11775" width="19.109375" customWidth="1"/>
    <col min="11777" max="11777" width="35.109375" customWidth="1"/>
    <col min="12029" max="12029" width="15.33203125" customWidth="1"/>
    <col min="12030" max="12030" width="20.88671875" customWidth="1"/>
    <col min="12031" max="12031" width="19.109375" customWidth="1"/>
    <col min="12033" max="12033" width="35.109375" customWidth="1"/>
    <col min="12285" max="12285" width="15.33203125" customWidth="1"/>
    <col min="12286" max="12286" width="20.88671875" customWidth="1"/>
    <col min="12287" max="12287" width="19.109375" customWidth="1"/>
    <col min="12289" max="12289" width="35.109375" customWidth="1"/>
    <col min="12541" max="12541" width="15.33203125" customWidth="1"/>
    <col min="12542" max="12542" width="20.88671875" customWidth="1"/>
    <col min="12543" max="12543" width="19.109375" customWidth="1"/>
    <col min="12545" max="12545" width="35.109375" customWidth="1"/>
    <col min="12797" max="12797" width="15.33203125" customWidth="1"/>
    <col min="12798" max="12798" width="20.88671875" customWidth="1"/>
    <col min="12799" max="12799" width="19.109375" customWidth="1"/>
    <col min="12801" max="12801" width="35.109375" customWidth="1"/>
    <col min="13053" max="13053" width="15.33203125" customWidth="1"/>
    <col min="13054" max="13054" width="20.88671875" customWidth="1"/>
    <col min="13055" max="13055" width="19.109375" customWidth="1"/>
    <col min="13057" max="13057" width="35.109375" customWidth="1"/>
    <col min="13309" max="13309" width="15.33203125" customWidth="1"/>
    <col min="13310" max="13310" width="20.88671875" customWidth="1"/>
    <col min="13311" max="13311" width="19.109375" customWidth="1"/>
    <col min="13313" max="13313" width="35.109375" customWidth="1"/>
    <col min="13565" max="13565" width="15.33203125" customWidth="1"/>
    <col min="13566" max="13566" width="20.88671875" customWidth="1"/>
    <col min="13567" max="13567" width="19.109375" customWidth="1"/>
    <col min="13569" max="13569" width="35.109375" customWidth="1"/>
    <col min="13821" max="13821" width="15.33203125" customWidth="1"/>
    <col min="13822" max="13822" width="20.88671875" customWidth="1"/>
    <col min="13823" max="13823" width="19.109375" customWidth="1"/>
    <col min="13825" max="13825" width="35.109375" customWidth="1"/>
    <col min="14077" max="14077" width="15.33203125" customWidth="1"/>
    <col min="14078" max="14078" width="20.88671875" customWidth="1"/>
    <col min="14079" max="14079" width="19.109375" customWidth="1"/>
    <col min="14081" max="14081" width="35.109375" customWidth="1"/>
    <col min="14333" max="14333" width="15.33203125" customWidth="1"/>
    <col min="14334" max="14334" width="20.88671875" customWidth="1"/>
    <col min="14335" max="14335" width="19.109375" customWidth="1"/>
    <col min="14337" max="14337" width="35.109375" customWidth="1"/>
    <col min="14589" max="14589" width="15.33203125" customWidth="1"/>
    <col min="14590" max="14590" width="20.88671875" customWidth="1"/>
    <col min="14591" max="14591" width="19.109375" customWidth="1"/>
    <col min="14593" max="14593" width="35.109375" customWidth="1"/>
    <col min="14845" max="14845" width="15.33203125" customWidth="1"/>
    <col min="14846" max="14846" width="20.88671875" customWidth="1"/>
    <col min="14847" max="14847" width="19.109375" customWidth="1"/>
    <col min="14849" max="14849" width="35.109375" customWidth="1"/>
    <col min="15101" max="15101" width="15.33203125" customWidth="1"/>
    <col min="15102" max="15102" width="20.88671875" customWidth="1"/>
    <col min="15103" max="15103" width="19.109375" customWidth="1"/>
    <col min="15105" max="15105" width="35.109375" customWidth="1"/>
    <col min="15357" max="15357" width="15.33203125" customWidth="1"/>
    <col min="15358" max="15358" width="20.88671875" customWidth="1"/>
    <col min="15359" max="15359" width="19.109375" customWidth="1"/>
    <col min="15361" max="15361" width="35.109375" customWidth="1"/>
    <col min="15613" max="15613" width="15.33203125" customWidth="1"/>
    <col min="15614" max="15614" width="20.88671875" customWidth="1"/>
    <col min="15615" max="15615" width="19.109375" customWidth="1"/>
    <col min="15617" max="15617" width="35.109375" customWidth="1"/>
    <col min="15869" max="15869" width="15.33203125" customWidth="1"/>
    <col min="15870" max="15870" width="20.88671875" customWidth="1"/>
    <col min="15871" max="15871" width="19.109375" customWidth="1"/>
    <col min="15873" max="15873" width="35.109375" customWidth="1"/>
    <col min="16125" max="16125" width="15.33203125" customWidth="1"/>
    <col min="16126" max="16126" width="20.88671875" customWidth="1"/>
    <col min="16127" max="16127" width="19.109375" customWidth="1"/>
    <col min="16129" max="16129" width="35.109375" customWidth="1"/>
  </cols>
  <sheetData>
    <row r="1" spans="2:6" x14ac:dyDescent="0.25">
      <c r="B1" s="16" t="s">
        <v>0</v>
      </c>
    </row>
    <row r="2" spans="2:6" ht="13.8" thickBot="1" x14ac:dyDescent="0.3"/>
    <row r="3" spans="2:6" x14ac:dyDescent="0.25">
      <c r="B3" s="101" t="s">
        <v>1</v>
      </c>
      <c r="C3" s="102"/>
      <c r="D3" s="102"/>
      <c r="E3" s="102"/>
      <c r="F3" s="103"/>
    </row>
    <row r="4" spans="2:6" x14ac:dyDescent="0.25">
      <c r="B4" s="104"/>
      <c r="C4" s="105"/>
      <c r="D4" s="105"/>
      <c r="E4" s="105"/>
      <c r="F4" s="106"/>
    </row>
    <row r="5" spans="2:6" x14ac:dyDescent="0.25">
      <c r="B5" s="104"/>
      <c r="C5" s="105"/>
      <c r="D5" s="105"/>
      <c r="E5" s="105"/>
      <c r="F5" s="106"/>
    </row>
    <row r="6" spans="2:6" ht="14.4" x14ac:dyDescent="0.3">
      <c r="B6" s="80" t="s">
        <v>2</v>
      </c>
      <c r="C6" s="80" t="s">
        <v>3</v>
      </c>
      <c r="D6" s="80" t="s">
        <v>4</v>
      </c>
      <c r="E6" s="107" t="s">
        <v>5</v>
      </c>
      <c r="F6" s="107"/>
    </row>
    <row r="7" spans="2:6" ht="12.75" customHeight="1" x14ac:dyDescent="0.25">
      <c r="B7" s="81" t="s">
        <v>192</v>
      </c>
      <c r="C7" s="79" t="s">
        <v>193</v>
      </c>
      <c r="D7" s="60">
        <v>45945</v>
      </c>
      <c r="E7" s="108" t="s">
        <v>194</v>
      </c>
      <c r="F7" s="109"/>
    </row>
    <row r="8" spans="2:6" x14ac:dyDescent="0.25">
      <c r="B8" s="82"/>
      <c r="C8" s="79"/>
      <c r="D8" s="78"/>
      <c r="E8" s="110"/>
      <c r="F8" s="110"/>
    </row>
    <row r="9" spans="2:6" x14ac:dyDescent="0.25">
      <c r="B9" s="82"/>
      <c r="C9" s="79"/>
      <c r="D9" s="78"/>
      <c r="E9" s="99"/>
      <c r="F9" s="99"/>
    </row>
    <row r="10" spans="2:6" x14ac:dyDescent="0.25">
      <c r="B10" s="82"/>
      <c r="C10" s="79"/>
      <c r="D10" s="78"/>
      <c r="E10" s="99"/>
      <c r="F10" s="99"/>
    </row>
    <row r="11" spans="2:6" x14ac:dyDescent="0.25">
      <c r="B11" s="82"/>
      <c r="C11" s="79"/>
      <c r="D11" s="78"/>
      <c r="E11" s="99"/>
      <c r="F11" s="100"/>
    </row>
    <row r="12" spans="2:6" x14ac:dyDescent="0.25">
      <c r="B12" s="82"/>
      <c r="C12" s="79"/>
      <c r="D12" s="78"/>
      <c r="E12" s="99"/>
      <c r="F12" s="99"/>
    </row>
    <row r="13" spans="2:6" x14ac:dyDescent="0.25">
      <c r="B13" s="82"/>
      <c r="C13" s="79"/>
      <c r="D13" s="78"/>
      <c r="E13" s="99"/>
      <c r="F13" s="99"/>
    </row>
  </sheetData>
  <mergeCells count="9">
    <mergeCell ref="E11:F11"/>
    <mergeCell ref="E12:F12"/>
    <mergeCell ref="E13:F13"/>
    <mergeCell ref="B3:F5"/>
    <mergeCell ref="E6:F6"/>
    <mergeCell ref="E7:F7"/>
    <mergeCell ref="E8:F8"/>
    <mergeCell ref="E9:F9"/>
    <mergeCell ref="E10:F10"/>
  </mergeCells>
  <dataValidations count="1">
    <dataValidation type="list" allowBlank="1" showInputMessage="1" showErrorMessage="1" sqref="E7:F7" xr:uid="{E23A1B87-F150-4801-B131-F407BD51D34B}">
      <formula1>"Diseño de Casos de Prueba, Refinamiento de Casos De Prueba,Ejecución de Casos de Prueba"</formula1>
    </dataValidation>
  </dataValidations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1"/>
  <dimension ref="A1:EW437"/>
  <sheetViews>
    <sheetView zoomScale="80" zoomScaleNormal="80" workbookViewId="0">
      <pane xSplit="1" ySplit="1" topLeftCell="B37" activePane="bottomRight" state="frozen"/>
      <selection pane="topRight" activeCell="B1" sqref="B1"/>
      <selection pane="bottomLeft" activeCell="A2" sqref="A2"/>
      <selection pane="bottomRight" activeCell="K72" sqref="K72"/>
    </sheetView>
  </sheetViews>
  <sheetFormatPr baseColWidth="10" defaultColWidth="11.44140625" defaultRowHeight="13.2" x14ac:dyDescent="0.25"/>
  <cols>
    <col min="1" max="1" width="119.5546875" bestFit="1" customWidth="1"/>
    <col min="2" max="38" width="5.109375" customWidth="1"/>
    <col min="39" max="42" width="5.6640625" customWidth="1"/>
    <col min="43" max="56" width="5.5546875" customWidth="1"/>
    <col min="57" max="64" width="5.5546875" style="30" customWidth="1"/>
    <col min="65" max="65" width="6" style="30" customWidth="1"/>
    <col min="66" max="68" width="6.33203125" style="30" bestFit="1" customWidth="1"/>
    <col min="69" max="69" width="6.33203125" style="30" customWidth="1"/>
    <col min="70" max="70" width="6.33203125" style="30" bestFit="1" customWidth="1"/>
    <col min="71" max="72" width="6.33203125" style="30" customWidth="1"/>
    <col min="73" max="73" width="6.33203125" style="30" bestFit="1" customWidth="1"/>
    <col min="74" max="75" width="6.33203125" style="30" customWidth="1"/>
    <col min="76" max="80" width="6.33203125" style="30" bestFit="1" customWidth="1"/>
    <col min="81" max="150" width="11.44140625" style="30"/>
  </cols>
  <sheetData>
    <row r="1" spans="1:153" ht="15" customHeight="1" thickBot="1" x14ac:dyDescent="0.3">
      <c r="A1" s="49"/>
      <c r="B1" s="50" t="s">
        <v>6</v>
      </c>
      <c r="C1" s="50" t="s">
        <v>7</v>
      </c>
      <c r="D1" s="50"/>
      <c r="E1" s="50"/>
      <c r="F1" s="50"/>
      <c r="G1" s="50" t="s">
        <v>8</v>
      </c>
      <c r="H1" s="50" t="s">
        <v>9</v>
      </c>
      <c r="I1" s="50" t="s">
        <v>10</v>
      </c>
      <c r="J1" s="50" t="s">
        <v>11</v>
      </c>
      <c r="K1" s="50" t="s">
        <v>12</v>
      </c>
      <c r="L1" s="50" t="s">
        <v>13</v>
      </c>
      <c r="M1" s="50" t="s">
        <v>14</v>
      </c>
      <c r="N1" s="50" t="s">
        <v>15</v>
      </c>
      <c r="O1" s="50" t="s">
        <v>16</v>
      </c>
      <c r="P1" s="50" t="s">
        <v>17</v>
      </c>
      <c r="Q1" s="50"/>
      <c r="R1" s="50" t="s">
        <v>15</v>
      </c>
      <c r="S1" s="50" t="s">
        <v>16</v>
      </c>
      <c r="T1" s="50" t="s">
        <v>17</v>
      </c>
      <c r="U1" s="50" t="s">
        <v>18</v>
      </c>
      <c r="V1" s="50" t="s">
        <v>19</v>
      </c>
      <c r="W1" s="50" t="s">
        <v>20</v>
      </c>
      <c r="X1" s="50" t="s">
        <v>21</v>
      </c>
      <c r="Y1" s="50" t="s">
        <v>22</v>
      </c>
      <c r="Z1" s="50" t="s">
        <v>23</v>
      </c>
      <c r="AA1" s="50"/>
      <c r="AB1" s="50"/>
      <c r="AC1" s="50" t="s">
        <v>19</v>
      </c>
      <c r="AD1" s="50" t="s">
        <v>20</v>
      </c>
      <c r="AE1" s="50" t="s">
        <v>21</v>
      </c>
      <c r="AF1" s="50" t="s">
        <v>22</v>
      </c>
      <c r="AG1" s="50"/>
      <c r="AH1" s="50" t="s">
        <v>23</v>
      </c>
      <c r="AI1" s="50" t="s">
        <v>24</v>
      </c>
      <c r="AJ1" s="50" t="s">
        <v>25</v>
      </c>
      <c r="AK1" s="50" t="s">
        <v>26</v>
      </c>
      <c r="AL1" s="50"/>
      <c r="AM1" s="50" t="s">
        <v>27</v>
      </c>
      <c r="AN1" s="50" t="s">
        <v>28</v>
      </c>
      <c r="AO1" s="50" t="s">
        <v>29</v>
      </c>
      <c r="AP1" s="50" t="s">
        <v>30</v>
      </c>
      <c r="AQ1" s="50" t="s">
        <v>10</v>
      </c>
      <c r="AR1" s="50" t="s">
        <v>6</v>
      </c>
      <c r="AS1" s="50" t="s">
        <v>7</v>
      </c>
      <c r="AT1" s="50" t="s">
        <v>8</v>
      </c>
      <c r="AU1" s="50"/>
      <c r="AV1" s="50" t="s">
        <v>9</v>
      </c>
      <c r="AW1" s="50" t="s">
        <v>10</v>
      </c>
      <c r="AX1" s="50" t="s">
        <v>11</v>
      </c>
      <c r="AY1" s="50" t="s">
        <v>12</v>
      </c>
      <c r="AZ1" s="50" t="s">
        <v>13</v>
      </c>
      <c r="BA1" s="50" t="s">
        <v>14</v>
      </c>
      <c r="BB1" s="50" t="s">
        <v>15</v>
      </c>
      <c r="BC1" s="50" t="s">
        <v>16</v>
      </c>
      <c r="BD1" s="50" t="s">
        <v>17</v>
      </c>
      <c r="BE1" s="50" t="s">
        <v>18</v>
      </c>
      <c r="BF1" s="50" t="s">
        <v>19</v>
      </c>
      <c r="BG1" s="50" t="s">
        <v>20</v>
      </c>
      <c r="BH1" s="50" t="s">
        <v>21</v>
      </c>
      <c r="BI1" s="50"/>
      <c r="BJ1" s="50"/>
      <c r="BK1" s="50"/>
      <c r="BL1" s="50"/>
      <c r="BM1" s="50" t="s">
        <v>22</v>
      </c>
      <c r="BN1" s="50" t="s">
        <v>23</v>
      </c>
      <c r="BO1" s="50" t="s">
        <v>24</v>
      </c>
      <c r="BP1" s="50" t="s">
        <v>25</v>
      </c>
      <c r="BQ1" s="50" t="s">
        <v>26</v>
      </c>
      <c r="BR1" s="50" t="s">
        <v>27</v>
      </c>
      <c r="BS1" s="50" t="s">
        <v>28</v>
      </c>
      <c r="BT1" s="50" t="s">
        <v>29</v>
      </c>
      <c r="BU1" s="50" t="s">
        <v>30</v>
      </c>
      <c r="BV1" s="50" t="s">
        <v>31</v>
      </c>
      <c r="BW1" s="50" t="s">
        <v>32</v>
      </c>
      <c r="BX1" s="50" t="s">
        <v>33</v>
      </c>
      <c r="BY1" s="50" t="s">
        <v>34</v>
      </c>
      <c r="BZ1" s="50" t="s">
        <v>35</v>
      </c>
      <c r="CA1" s="50" t="s">
        <v>36</v>
      </c>
      <c r="CB1" s="50" t="s">
        <v>37</v>
      </c>
      <c r="EU1" s="30"/>
      <c r="EV1" s="30"/>
      <c r="EW1" s="30"/>
    </row>
    <row r="2" spans="1:153" ht="15" customHeight="1" x14ac:dyDescent="0.25">
      <c r="A2" s="48" t="s">
        <v>38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1"/>
      <c r="AO2" s="51"/>
      <c r="AP2" s="51"/>
      <c r="AQ2" s="51"/>
      <c r="AR2" s="51"/>
      <c r="AS2" s="51"/>
      <c r="AT2" s="51"/>
      <c r="AU2" s="51"/>
      <c r="AV2" s="51"/>
      <c r="AW2" s="51"/>
      <c r="AX2" s="51"/>
      <c r="AY2" s="51"/>
      <c r="AZ2" s="51"/>
      <c r="BA2" s="51"/>
      <c r="BB2" s="51"/>
      <c r="BC2" s="51"/>
      <c r="BD2" s="51"/>
      <c r="BE2" s="51"/>
      <c r="BF2" s="51"/>
      <c r="BG2" s="51"/>
      <c r="BH2" s="51"/>
      <c r="BI2" s="51"/>
      <c r="BJ2" s="51"/>
      <c r="BK2" s="51"/>
      <c r="BL2" s="51"/>
      <c r="BM2" s="51"/>
      <c r="BN2" s="51"/>
      <c r="BO2" s="51"/>
      <c r="BP2" s="51"/>
      <c r="BQ2" s="51"/>
      <c r="BR2" s="51"/>
      <c r="BS2" s="51"/>
      <c r="BT2" s="51"/>
      <c r="BU2" s="51"/>
      <c r="BV2" s="51"/>
      <c r="BW2" s="51"/>
      <c r="BX2" s="51"/>
      <c r="BY2" s="51"/>
      <c r="BZ2" s="51"/>
      <c r="CA2" s="51"/>
      <c r="CB2" s="51"/>
      <c r="EU2" s="30"/>
      <c r="EV2" s="30"/>
      <c r="EW2" s="30"/>
    </row>
    <row r="3" spans="1:153" ht="15" customHeight="1" x14ac:dyDescent="0.25">
      <c r="A3" s="46" t="s">
        <v>39</v>
      </c>
      <c r="B3" s="56" t="s">
        <v>40</v>
      </c>
      <c r="C3" s="56" t="s">
        <v>40</v>
      </c>
      <c r="D3" s="56"/>
      <c r="E3" s="56"/>
      <c r="F3" s="56"/>
      <c r="G3" s="56" t="s">
        <v>40</v>
      </c>
      <c r="H3" s="56" t="s">
        <v>40</v>
      </c>
      <c r="I3" s="56" t="s">
        <v>40</v>
      </c>
      <c r="J3" s="56" t="s">
        <v>40</v>
      </c>
      <c r="K3" s="56" t="s">
        <v>40</v>
      </c>
      <c r="L3" s="56" t="s">
        <v>40</v>
      </c>
      <c r="M3" s="56" t="s">
        <v>40</v>
      </c>
      <c r="N3" s="56" t="s">
        <v>40</v>
      </c>
      <c r="O3" s="56" t="s">
        <v>40</v>
      </c>
      <c r="P3" s="56" t="s">
        <v>40</v>
      </c>
      <c r="Q3" s="56"/>
      <c r="R3" s="56" t="s">
        <v>40</v>
      </c>
      <c r="S3" s="56" t="s">
        <v>40</v>
      </c>
      <c r="T3" s="56" t="s">
        <v>40</v>
      </c>
      <c r="U3" s="56" t="s">
        <v>40</v>
      </c>
      <c r="V3" s="56" t="s">
        <v>40</v>
      </c>
      <c r="W3" s="56" t="s">
        <v>40</v>
      </c>
      <c r="X3" s="56" t="s">
        <v>40</v>
      </c>
      <c r="Y3" s="56" t="s">
        <v>40</v>
      </c>
      <c r="Z3" s="56" t="s">
        <v>40</v>
      </c>
      <c r="AA3" s="56"/>
      <c r="AB3" s="56"/>
      <c r="AC3" s="56" t="s">
        <v>40</v>
      </c>
      <c r="AD3" s="56" t="s">
        <v>40</v>
      </c>
      <c r="AE3" s="56" t="s">
        <v>40</v>
      </c>
      <c r="AF3" s="56" t="s">
        <v>40</v>
      </c>
      <c r="AG3" s="56" t="s">
        <v>40</v>
      </c>
      <c r="AH3" s="56" t="s">
        <v>40</v>
      </c>
      <c r="AI3" s="56" t="s">
        <v>40</v>
      </c>
      <c r="AJ3" s="56" t="s">
        <v>40</v>
      </c>
      <c r="AK3" s="56" t="s">
        <v>40</v>
      </c>
      <c r="AL3" s="56" t="s">
        <v>40</v>
      </c>
      <c r="AM3" s="56"/>
      <c r="AN3" s="56"/>
      <c r="AO3" s="56"/>
      <c r="AP3" s="56"/>
      <c r="AQ3" s="56" t="s">
        <v>40</v>
      </c>
      <c r="AR3" s="56" t="s">
        <v>40</v>
      </c>
      <c r="AS3" s="56" t="s">
        <v>40</v>
      </c>
      <c r="AT3" s="56" t="s">
        <v>40</v>
      </c>
      <c r="AU3" s="56" t="s">
        <v>40</v>
      </c>
      <c r="AV3" s="56" t="s">
        <v>40</v>
      </c>
      <c r="AW3" s="56" t="s">
        <v>40</v>
      </c>
      <c r="AX3" s="56" t="s">
        <v>40</v>
      </c>
      <c r="AY3" s="56" t="s">
        <v>40</v>
      </c>
      <c r="AZ3" s="56" t="s">
        <v>40</v>
      </c>
      <c r="BA3" s="56" t="s">
        <v>40</v>
      </c>
      <c r="BB3" s="56" t="s">
        <v>40</v>
      </c>
      <c r="BC3" s="56" t="s">
        <v>40</v>
      </c>
      <c r="BD3" s="56" t="s">
        <v>40</v>
      </c>
      <c r="BE3" s="56" t="s">
        <v>40</v>
      </c>
      <c r="BF3" s="56" t="s">
        <v>40</v>
      </c>
      <c r="BG3" s="56" t="s">
        <v>40</v>
      </c>
      <c r="BH3" s="56" t="s">
        <v>40</v>
      </c>
      <c r="BI3" s="56"/>
      <c r="BJ3" s="56"/>
      <c r="BK3" s="56"/>
      <c r="BL3" s="56"/>
      <c r="BM3" s="56" t="s">
        <v>40</v>
      </c>
      <c r="BN3" s="56" t="s">
        <v>40</v>
      </c>
      <c r="BO3" s="56" t="s">
        <v>40</v>
      </c>
      <c r="BP3" s="56" t="s">
        <v>40</v>
      </c>
      <c r="BQ3" s="56" t="s">
        <v>40</v>
      </c>
      <c r="BR3" s="56" t="s">
        <v>40</v>
      </c>
      <c r="BS3" s="56" t="s">
        <v>40</v>
      </c>
      <c r="BT3" s="56" t="s">
        <v>40</v>
      </c>
      <c r="BU3" s="56" t="s">
        <v>40</v>
      </c>
      <c r="BV3" s="56" t="s">
        <v>40</v>
      </c>
      <c r="BW3" s="56" t="s">
        <v>40</v>
      </c>
      <c r="BX3" s="56" t="s">
        <v>40</v>
      </c>
      <c r="BY3" s="56" t="s">
        <v>40</v>
      </c>
      <c r="BZ3" s="56" t="s">
        <v>40</v>
      </c>
      <c r="CA3" s="56" t="s">
        <v>40</v>
      </c>
      <c r="CB3" s="56" t="s">
        <v>40</v>
      </c>
      <c r="EU3" s="30"/>
      <c r="EV3" s="30"/>
      <c r="EW3" s="30"/>
    </row>
    <row r="4" spans="1:153" ht="15" customHeight="1" x14ac:dyDescent="0.25">
      <c r="A4" s="46" t="s">
        <v>41</v>
      </c>
      <c r="B4" s="56" t="s">
        <v>40</v>
      </c>
      <c r="C4" s="56" t="s">
        <v>40</v>
      </c>
      <c r="D4" s="56"/>
      <c r="E4" s="56"/>
      <c r="F4" s="56"/>
      <c r="G4" s="56" t="s">
        <v>40</v>
      </c>
      <c r="H4" s="56" t="s">
        <v>40</v>
      </c>
      <c r="I4" s="56" t="s">
        <v>40</v>
      </c>
      <c r="J4" s="56" t="s">
        <v>40</v>
      </c>
      <c r="K4" s="56" t="s">
        <v>40</v>
      </c>
      <c r="L4" s="56" t="s">
        <v>40</v>
      </c>
      <c r="M4" s="56" t="s">
        <v>40</v>
      </c>
      <c r="N4" s="56" t="s">
        <v>40</v>
      </c>
      <c r="O4" s="56" t="s">
        <v>40</v>
      </c>
      <c r="P4" s="56" t="s">
        <v>40</v>
      </c>
      <c r="Q4" s="56"/>
      <c r="R4" s="56" t="s">
        <v>40</v>
      </c>
      <c r="S4" s="56" t="s">
        <v>40</v>
      </c>
      <c r="T4" s="56" t="s">
        <v>40</v>
      </c>
      <c r="U4" s="56" t="s">
        <v>40</v>
      </c>
      <c r="V4" s="56" t="s">
        <v>40</v>
      </c>
      <c r="W4" s="56" t="s">
        <v>40</v>
      </c>
      <c r="X4" s="56" t="s">
        <v>40</v>
      </c>
      <c r="Y4" s="56" t="s">
        <v>40</v>
      </c>
      <c r="Z4" s="56" t="s">
        <v>40</v>
      </c>
      <c r="AA4" s="56"/>
      <c r="AB4" s="56"/>
      <c r="AC4" s="56" t="s">
        <v>40</v>
      </c>
      <c r="AD4" s="56" t="s">
        <v>40</v>
      </c>
      <c r="AE4" s="56" t="s">
        <v>40</v>
      </c>
      <c r="AF4" s="56" t="s">
        <v>40</v>
      </c>
      <c r="AG4" s="56" t="s">
        <v>40</v>
      </c>
      <c r="AH4" s="56" t="s">
        <v>40</v>
      </c>
      <c r="AI4" s="56" t="s">
        <v>40</v>
      </c>
      <c r="AJ4" s="56" t="s">
        <v>40</v>
      </c>
      <c r="AK4" s="56" t="s">
        <v>40</v>
      </c>
      <c r="AL4" s="56" t="s">
        <v>40</v>
      </c>
      <c r="AM4" s="56"/>
      <c r="AN4" s="56"/>
      <c r="AO4" s="56"/>
      <c r="AP4" s="56"/>
      <c r="AQ4" s="56" t="s">
        <v>40</v>
      </c>
      <c r="AR4" s="56" t="s">
        <v>40</v>
      </c>
      <c r="AS4" s="56" t="s">
        <v>40</v>
      </c>
      <c r="AT4" s="56" t="s">
        <v>40</v>
      </c>
      <c r="AU4" s="56" t="s">
        <v>40</v>
      </c>
      <c r="AV4" s="56" t="s">
        <v>40</v>
      </c>
      <c r="AW4" s="56" t="s">
        <v>40</v>
      </c>
      <c r="AX4" s="56" t="s">
        <v>40</v>
      </c>
      <c r="AY4" s="56" t="s">
        <v>40</v>
      </c>
      <c r="AZ4" s="56" t="s">
        <v>40</v>
      </c>
      <c r="BA4" s="56" t="s">
        <v>40</v>
      </c>
      <c r="BB4" s="56" t="s">
        <v>40</v>
      </c>
      <c r="BC4" s="56" t="s">
        <v>40</v>
      </c>
      <c r="BD4" s="56" t="s">
        <v>40</v>
      </c>
      <c r="BE4" s="56" t="s">
        <v>40</v>
      </c>
      <c r="BF4" s="56" t="s">
        <v>40</v>
      </c>
      <c r="BG4" s="56" t="s">
        <v>40</v>
      </c>
      <c r="BH4" s="56" t="s">
        <v>40</v>
      </c>
      <c r="BI4" s="56"/>
      <c r="BJ4" s="56"/>
      <c r="BK4" s="56"/>
      <c r="BL4" s="56"/>
      <c r="BM4" s="56" t="s">
        <v>40</v>
      </c>
      <c r="BN4" s="56" t="s">
        <v>40</v>
      </c>
      <c r="BO4" s="56" t="s">
        <v>40</v>
      </c>
      <c r="BP4" s="56" t="s">
        <v>40</v>
      </c>
      <c r="BQ4" s="56" t="s">
        <v>40</v>
      </c>
      <c r="BR4" s="56" t="s">
        <v>40</v>
      </c>
      <c r="BS4" s="56" t="s">
        <v>40</v>
      </c>
      <c r="BT4" s="56" t="s">
        <v>40</v>
      </c>
      <c r="BU4" s="56" t="s">
        <v>40</v>
      </c>
      <c r="BV4" s="56" t="s">
        <v>40</v>
      </c>
      <c r="BW4" s="56" t="s">
        <v>40</v>
      </c>
      <c r="BX4" s="56" t="s">
        <v>40</v>
      </c>
      <c r="BY4" s="56" t="s">
        <v>40</v>
      </c>
      <c r="BZ4" s="56" t="s">
        <v>40</v>
      </c>
      <c r="CA4" s="56" t="s">
        <v>40</v>
      </c>
      <c r="CB4" s="56" t="s">
        <v>40</v>
      </c>
      <c r="EU4" s="30"/>
      <c r="EV4" s="30"/>
      <c r="EW4" s="30"/>
    </row>
    <row r="5" spans="1:153" ht="15" customHeight="1" x14ac:dyDescent="0.25">
      <c r="A5" s="48" t="s">
        <v>42</v>
      </c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  <c r="AA5" s="62"/>
      <c r="AB5" s="62"/>
      <c r="AC5" s="62"/>
      <c r="AD5" s="62"/>
      <c r="AE5" s="62"/>
      <c r="AF5" s="62"/>
      <c r="AG5" s="62"/>
      <c r="AH5" s="62"/>
      <c r="AI5" s="62"/>
      <c r="AJ5" s="62"/>
      <c r="AK5" s="62"/>
      <c r="AL5" s="62"/>
      <c r="AM5" s="62"/>
      <c r="AN5" s="62"/>
      <c r="AO5" s="62"/>
      <c r="AP5" s="62"/>
      <c r="AQ5" s="62"/>
      <c r="AR5" s="62"/>
      <c r="AS5" s="62"/>
      <c r="AT5" s="62"/>
      <c r="AU5" s="62"/>
      <c r="AV5" s="62"/>
      <c r="AW5" s="62"/>
      <c r="AX5" s="62"/>
      <c r="AY5" s="62"/>
      <c r="AZ5" s="62"/>
      <c r="BA5" s="62"/>
      <c r="BB5" s="62"/>
      <c r="BC5" s="62"/>
      <c r="BD5" s="62"/>
      <c r="BE5" s="62"/>
      <c r="BF5" s="62"/>
      <c r="BG5" s="62"/>
      <c r="BH5" s="62"/>
      <c r="BI5" s="62"/>
      <c r="BJ5" s="62"/>
      <c r="BK5" s="62"/>
      <c r="BL5" s="62"/>
      <c r="EU5" s="30"/>
      <c r="EV5" s="30"/>
      <c r="EW5" s="30"/>
    </row>
    <row r="6" spans="1:153" ht="15" customHeight="1" x14ac:dyDescent="0.25">
      <c r="A6" s="46" t="s">
        <v>43</v>
      </c>
      <c r="B6" s="56" t="s">
        <v>40</v>
      </c>
      <c r="C6" s="56" t="s">
        <v>40</v>
      </c>
      <c r="D6" s="56"/>
      <c r="E6" s="56"/>
      <c r="F6" s="56"/>
      <c r="G6" s="56" t="s">
        <v>40</v>
      </c>
      <c r="H6" s="56" t="s">
        <v>40</v>
      </c>
      <c r="I6" s="56" t="s">
        <v>40</v>
      </c>
      <c r="J6" s="56" t="s">
        <v>40</v>
      </c>
      <c r="K6" s="56" t="s">
        <v>40</v>
      </c>
      <c r="L6" s="56" t="s">
        <v>40</v>
      </c>
      <c r="M6" s="56" t="s">
        <v>40</v>
      </c>
      <c r="N6" s="56" t="s">
        <v>40</v>
      </c>
      <c r="O6" s="56" t="s">
        <v>40</v>
      </c>
      <c r="P6" s="56" t="s">
        <v>40</v>
      </c>
      <c r="Q6" s="56"/>
      <c r="R6" s="56" t="s">
        <v>40</v>
      </c>
      <c r="S6" s="56" t="s">
        <v>40</v>
      </c>
      <c r="T6" s="56" t="s">
        <v>40</v>
      </c>
      <c r="U6" s="56" t="s">
        <v>40</v>
      </c>
      <c r="V6" s="56" t="s">
        <v>40</v>
      </c>
      <c r="W6" s="56" t="s">
        <v>40</v>
      </c>
      <c r="X6" s="56" t="s">
        <v>40</v>
      </c>
      <c r="Y6" s="56" t="s">
        <v>40</v>
      </c>
      <c r="Z6" s="56" t="s">
        <v>40</v>
      </c>
      <c r="AA6" s="56"/>
      <c r="AB6" s="56"/>
      <c r="AC6" s="56" t="s">
        <v>40</v>
      </c>
      <c r="AD6" s="56" t="s">
        <v>40</v>
      </c>
      <c r="AE6" s="56" t="s">
        <v>40</v>
      </c>
      <c r="AF6" s="56" t="s">
        <v>40</v>
      </c>
      <c r="AG6" s="56" t="s">
        <v>40</v>
      </c>
      <c r="AH6" s="56" t="s">
        <v>40</v>
      </c>
      <c r="AI6" s="56" t="s">
        <v>40</v>
      </c>
      <c r="AJ6" s="56" t="s">
        <v>40</v>
      </c>
      <c r="AK6" s="56" t="s">
        <v>40</v>
      </c>
      <c r="AL6" s="56" t="s">
        <v>40</v>
      </c>
      <c r="AM6" s="56"/>
      <c r="AN6" s="56"/>
      <c r="AO6" s="56"/>
      <c r="AP6" s="56"/>
      <c r="AQ6" s="56" t="s">
        <v>40</v>
      </c>
      <c r="AR6" s="56" t="s">
        <v>40</v>
      </c>
      <c r="AS6" s="56" t="s">
        <v>40</v>
      </c>
      <c r="AT6" s="56" t="s">
        <v>40</v>
      </c>
      <c r="AU6" s="56" t="s">
        <v>40</v>
      </c>
      <c r="AV6" s="56" t="s">
        <v>40</v>
      </c>
      <c r="AW6" s="56" t="s">
        <v>40</v>
      </c>
      <c r="AX6" s="56" t="s">
        <v>40</v>
      </c>
      <c r="AY6" s="56" t="s">
        <v>40</v>
      </c>
      <c r="AZ6" s="56" t="s">
        <v>40</v>
      </c>
      <c r="BA6" s="56" t="s">
        <v>40</v>
      </c>
      <c r="BB6" s="56" t="s">
        <v>40</v>
      </c>
      <c r="BC6" s="56" t="s">
        <v>40</v>
      </c>
      <c r="BD6" s="56" t="s">
        <v>40</v>
      </c>
      <c r="BE6" s="56" t="s">
        <v>40</v>
      </c>
      <c r="BF6" s="56" t="s">
        <v>40</v>
      </c>
      <c r="BG6" s="56" t="s">
        <v>40</v>
      </c>
      <c r="BH6" s="56" t="s">
        <v>40</v>
      </c>
      <c r="BI6" s="56"/>
      <c r="BJ6" s="56"/>
      <c r="BK6" s="56"/>
      <c r="BL6" s="56"/>
      <c r="BM6" s="56"/>
      <c r="BN6" s="56"/>
      <c r="BO6" s="56"/>
      <c r="BP6" s="56"/>
      <c r="BQ6" s="56"/>
      <c r="BR6" s="56"/>
      <c r="BS6" s="56"/>
      <c r="BT6" s="56"/>
      <c r="BU6" s="56"/>
      <c r="BV6" s="56"/>
      <c r="BW6" s="56"/>
      <c r="BX6" s="56"/>
      <c r="BY6" s="56"/>
      <c r="BZ6" s="56"/>
      <c r="CA6" s="56"/>
      <c r="CB6" s="56"/>
      <c r="EU6" s="30"/>
      <c r="EV6" s="30"/>
      <c r="EW6" s="30"/>
    </row>
    <row r="7" spans="1:153" ht="15" customHeight="1" x14ac:dyDescent="0.25">
      <c r="A7" s="46" t="s">
        <v>44</v>
      </c>
      <c r="B7" s="56"/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4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  <c r="BF7" s="56"/>
      <c r="BG7" s="56"/>
      <c r="BH7" s="56"/>
      <c r="BI7" s="56"/>
      <c r="BJ7" s="56"/>
      <c r="BK7" s="56"/>
      <c r="BL7" s="56"/>
      <c r="BM7" s="56" t="s">
        <v>40</v>
      </c>
      <c r="BN7" s="56" t="s">
        <v>40</v>
      </c>
      <c r="BO7" s="56" t="s">
        <v>40</v>
      </c>
      <c r="BP7" s="56" t="s">
        <v>40</v>
      </c>
      <c r="BQ7" s="56" t="s">
        <v>40</v>
      </c>
      <c r="BR7" s="56" t="s">
        <v>40</v>
      </c>
      <c r="BS7" s="56" t="s">
        <v>40</v>
      </c>
      <c r="BT7" s="56" t="s">
        <v>40</v>
      </c>
      <c r="BU7" s="56" t="s">
        <v>40</v>
      </c>
      <c r="BV7" s="56" t="s">
        <v>40</v>
      </c>
      <c r="BW7" s="56" t="s">
        <v>40</v>
      </c>
      <c r="BX7" s="56" t="s">
        <v>40</v>
      </c>
      <c r="BY7" s="56" t="s">
        <v>40</v>
      </c>
      <c r="BZ7" s="56" t="s">
        <v>40</v>
      </c>
      <c r="CA7" s="56" t="s">
        <v>40</v>
      </c>
      <c r="CB7" s="56" t="s">
        <v>40</v>
      </c>
      <c r="EU7" s="30"/>
      <c r="EV7" s="30"/>
      <c r="EW7" s="30"/>
    </row>
    <row r="8" spans="1:153" ht="15" customHeight="1" x14ac:dyDescent="0.25">
      <c r="A8" s="48" t="s">
        <v>45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2"/>
      <c r="AQ8" s="62"/>
      <c r="AR8" s="62"/>
      <c r="AS8" s="62"/>
      <c r="AT8" s="62"/>
      <c r="AU8" s="62"/>
      <c r="AV8" s="62"/>
      <c r="AW8" s="62"/>
      <c r="AX8" s="62"/>
      <c r="AY8" s="62"/>
      <c r="AZ8" s="62"/>
      <c r="BA8" s="62"/>
      <c r="BB8" s="62"/>
      <c r="BC8" s="62"/>
      <c r="BD8" s="62"/>
      <c r="BE8" s="62"/>
      <c r="BF8" s="62"/>
      <c r="BG8" s="62"/>
      <c r="BH8" s="62"/>
      <c r="BI8" s="62"/>
      <c r="BJ8" s="62"/>
      <c r="BK8" s="62"/>
      <c r="BL8" s="62"/>
      <c r="BM8" s="62"/>
      <c r="BN8" s="62"/>
      <c r="BO8" s="62"/>
      <c r="BP8" s="62"/>
      <c r="BQ8" s="62"/>
      <c r="BR8" s="62"/>
      <c r="BS8" s="62"/>
      <c r="BT8" s="62"/>
      <c r="BU8" s="62"/>
      <c r="BV8" s="62"/>
      <c r="BW8" s="62"/>
      <c r="BX8" s="62"/>
      <c r="BY8" s="62"/>
      <c r="BZ8" s="62"/>
      <c r="CA8" s="62"/>
      <c r="CB8" s="62"/>
      <c r="EU8" s="30"/>
      <c r="EV8" s="30"/>
      <c r="EW8" s="30"/>
    </row>
    <row r="9" spans="1:153" ht="15" customHeight="1" x14ac:dyDescent="0.25">
      <c r="A9" s="46" t="s">
        <v>46</v>
      </c>
      <c r="B9" s="56" t="s">
        <v>40</v>
      </c>
      <c r="C9" s="56" t="s">
        <v>40</v>
      </c>
      <c r="D9" s="56"/>
      <c r="E9" s="56"/>
      <c r="F9" s="56"/>
      <c r="G9" s="56" t="s">
        <v>40</v>
      </c>
      <c r="H9" s="56" t="s">
        <v>40</v>
      </c>
      <c r="I9" s="56" t="s">
        <v>40</v>
      </c>
      <c r="J9" s="56" t="s">
        <v>40</v>
      </c>
      <c r="K9" s="56" t="s">
        <v>40</v>
      </c>
      <c r="L9" s="56" t="s">
        <v>40</v>
      </c>
      <c r="M9" s="56" t="s">
        <v>40</v>
      </c>
      <c r="N9" s="56" t="s">
        <v>40</v>
      </c>
      <c r="O9" s="56" t="s">
        <v>40</v>
      </c>
      <c r="P9" s="56" t="s">
        <v>40</v>
      </c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64"/>
      <c r="AR9" s="62"/>
      <c r="AS9" s="62"/>
      <c r="AT9" s="62"/>
      <c r="AU9" s="62"/>
      <c r="AV9" s="62"/>
      <c r="AW9" s="62"/>
      <c r="AX9" s="62"/>
      <c r="AY9" s="62"/>
      <c r="AZ9" s="62"/>
      <c r="BA9" s="62"/>
      <c r="BB9" s="62"/>
      <c r="BC9" s="62"/>
      <c r="BD9" s="62"/>
      <c r="BE9" s="62"/>
      <c r="BF9" s="62"/>
      <c r="BG9" s="62"/>
      <c r="BH9" s="62"/>
      <c r="BI9" s="62"/>
      <c r="BJ9" s="62"/>
      <c r="BK9" s="62"/>
      <c r="BL9" s="62"/>
      <c r="BM9" s="62"/>
      <c r="BN9" s="62"/>
      <c r="BO9" s="62"/>
      <c r="BP9" s="62"/>
      <c r="BQ9" s="62"/>
      <c r="BR9" s="62"/>
      <c r="BS9" s="62"/>
      <c r="BT9" s="62"/>
      <c r="BU9" s="62"/>
      <c r="BV9" s="62"/>
      <c r="BW9" s="62"/>
      <c r="BX9" s="62"/>
      <c r="BY9" s="62"/>
      <c r="BZ9" s="62"/>
      <c r="CA9" s="62"/>
      <c r="CB9" s="62"/>
      <c r="EU9" s="30"/>
      <c r="EV9" s="30"/>
      <c r="EW9" s="30"/>
    </row>
    <row r="10" spans="1:153" ht="15" customHeight="1" x14ac:dyDescent="0.25">
      <c r="A10" s="46" t="s">
        <v>47</v>
      </c>
      <c r="B10" s="56"/>
      <c r="C10" s="56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 t="s">
        <v>40</v>
      </c>
      <c r="S10" s="56" t="s">
        <v>40</v>
      </c>
      <c r="T10" s="56" t="s">
        <v>40</v>
      </c>
      <c r="U10" s="56" t="s">
        <v>40</v>
      </c>
      <c r="V10" s="56" t="s">
        <v>40</v>
      </c>
      <c r="W10" s="56" t="s">
        <v>40</v>
      </c>
      <c r="X10" s="56" t="s">
        <v>40</v>
      </c>
      <c r="Y10" s="56" t="s">
        <v>40</v>
      </c>
      <c r="Z10" s="56" t="s">
        <v>40</v>
      </c>
      <c r="AA10" s="56"/>
      <c r="AB10" s="56"/>
      <c r="AC10" s="56" t="s">
        <v>40</v>
      </c>
      <c r="AD10" s="56" t="s">
        <v>40</v>
      </c>
      <c r="AE10" s="56" t="s">
        <v>40</v>
      </c>
      <c r="AF10" s="56" t="s">
        <v>40</v>
      </c>
      <c r="AG10" s="56" t="s">
        <v>40</v>
      </c>
      <c r="AH10" s="56" t="s">
        <v>40</v>
      </c>
      <c r="AI10" s="56" t="s">
        <v>40</v>
      </c>
      <c r="AJ10" s="56" t="s">
        <v>40</v>
      </c>
      <c r="AK10" s="56" t="s">
        <v>40</v>
      </c>
      <c r="AL10" s="56" t="s">
        <v>40</v>
      </c>
      <c r="AM10" s="56"/>
      <c r="AN10" s="56"/>
      <c r="AO10" s="56"/>
      <c r="AP10" s="56"/>
      <c r="AQ10" s="64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B10" s="62"/>
      <c r="BC10" s="62"/>
      <c r="BD10" s="62"/>
      <c r="BE10" s="62"/>
      <c r="BF10" s="62"/>
      <c r="BG10" s="62"/>
      <c r="BH10" s="62"/>
      <c r="BI10" s="62"/>
      <c r="BJ10" s="62"/>
      <c r="BK10" s="62"/>
      <c r="BL10" s="62"/>
      <c r="BM10" s="62"/>
      <c r="BN10" s="62"/>
      <c r="BO10" s="62"/>
      <c r="BP10" s="62"/>
      <c r="BQ10" s="62"/>
      <c r="BR10" s="62"/>
      <c r="BS10" s="62"/>
      <c r="BT10" s="62"/>
      <c r="BU10" s="62"/>
      <c r="BV10" s="62"/>
      <c r="BW10" s="62"/>
      <c r="BX10" s="62"/>
      <c r="BY10" s="62"/>
      <c r="BZ10" s="62"/>
      <c r="CA10" s="62"/>
      <c r="CB10" s="62"/>
      <c r="EU10" s="30"/>
      <c r="EV10" s="30"/>
      <c r="EW10" s="30"/>
    </row>
    <row r="11" spans="1:153" ht="15" customHeight="1" x14ac:dyDescent="0.25">
      <c r="A11" s="48" t="s">
        <v>48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2"/>
      <c r="AQ11" s="64"/>
      <c r="AR11" s="62"/>
      <c r="AS11" s="62"/>
      <c r="AT11" s="62"/>
      <c r="AU11" s="62"/>
      <c r="AV11" s="62"/>
      <c r="AW11" s="62"/>
      <c r="AX11" s="62"/>
      <c r="AY11" s="62"/>
      <c r="AZ11" s="62"/>
      <c r="BA11" s="62"/>
      <c r="BB11" s="62"/>
      <c r="BC11" s="62"/>
      <c r="BD11" s="62"/>
      <c r="BE11" s="62"/>
      <c r="BF11" s="62"/>
      <c r="BG11" s="62"/>
      <c r="BH11" s="62"/>
      <c r="BI11" s="62"/>
      <c r="BJ11" s="62"/>
      <c r="BK11" s="62"/>
      <c r="BL11" s="62"/>
      <c r="BM11" s="62"/>
      <c r="BN11" s="62"/>
      <c r="BO11" s="62"/>
      <c r="BP11" s="62"/>
      <c r="BQ11" s="62"/>
      <c r="BR11" s="62"/>
      <c r="BS11" s="62"/>
      <c r="BT11" s="62"/>
      <c r="BU11" s="62"/>
      <c r="BV11" s="62"/>
      <c r="BW11" s="62"/>
      <c r="BX11" s="62"/>
      <c r="BY11" s="62"/>
      <c r="BZ11" s="62"/>
      <c r="CA11" s="62"/>
      <c r="CB11" s="62"/>
      <c r="EU11" s="30"/>
      <c r="EV11" s="30"/>
      <c r="EW11" s="30"/>
    </row>
    <row r="12" spans="1:153" ht="15" customHeight="1" x14ac:dyDescent="0.25">
      <c r="A12" s="46" t="s">
        <v>49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56" t="s">
        <v>40</v>
      </c>
      <c r="S12" s="56" t="s">
        <v>40</v>
      </c>
      <c r="T12" s="56" t="s">
        <v>40</v>
      </c>
      <c r="U12" s="56" t="s">
        <v>40</v>
      </c>
      <c r="V12" s="56" t="s">
        <v>40</v>
      </c>
      <c r="W12" s="56" t="s">
        <v>40</v>
      </c>
      <c r="X12" s="56" t="s">
        <v>40</v>
      </c>
      <c r="Y12" s="56" t="s">
        <v>40</v>
      </c>
      <c r="Z12" s="56"/>
      <c r="AA12" s="56"/>
      <c r="AB12" s="56"/>
      <c r="AC12" s="56" t="s">
        <v>40</v>
      </c>
      <c r="AD12" s="56" t="s">
        <v>40</v>
      </c>
      <c r="AE12" s="56" t="s">
        <v>40</v>
      </c>
      <c r="AF12" s="56" t="s">
        <v>40</v>
      </c>
      <c r="AG12" s="56" t="s">
        <v>40</v>
      </c>
      <c r="AH12" s="56" t="s">
        <v>40</v>
      </c>
      <c r="AI12" s="56" t="s">
        <v>40</v>
      </c>
      <c r="AJ12" s="56" t="s">
        <v>40</v>
      </c>
      <c r="AK12" s="56" t="s">
        <v>40</v>
      </c>
      <c r="AL12" s="56" t="s">
        <v>40</v>
      </c>
      <c r="AM12" s="62"/>
      <c r="AN12" s="62"/>
      <c r="AO12" s="62"/>
      <c r="AP12" s="62"/>
      <c r="AQ12" s="64"/>
      <c r="AR12" s="62"/>
      <c r="AS12" s="62"/>
      <c r="AT12" s="62"/>
      <c r="AU12" s="62"/>
      <c r="AV12" s="62"/>
      <c r="AW12" s="62"/>
      <c r="AX12" s="62"/>
      <c r="AY12" s="62"/>
      <c r="AZ12" s="62"/>
      <c r="BA12" s="62"/>
      <c r="BB12" s="62"/>
      <c r="BC12" s="62"/>
      <c r="BD12" s="62"/>
      <c r="BE12" s="62"/>
      <c r="BF12" s="62"/>
      <c r="BG12" s="62"/>
      <c r="BH12" s="62"/>
      <c r="BI12" s="62"/>
      <c r="BJ12" s="62"/>
      <c r="BK12" s="62"/>
      <c r="BL12" s="62"/>
      <c r="BM12" s="62"/>
      <c r="BN12" s="62"/>
      <c r="BO12" s="62"/>
      <c r="BP12" s="62"/>
      <c r="BQ12" s="62"/>
      <c r="BR12" s="62"/>
      <c r="BS12" s="62"/>
      <c r="BT12" s="62"/>
      <c r="BU12" s="62"/>
      <c r="BV12" s="62"/>
      <c r="BW12" s="62"/>
      <c r="BX12" s="62"/>
      <c r="BY12" s="62"/>
      <c r="BZ12" s="62"/>
      <c r="CA12" s="62"/>
      <c r="CB12" s="62"/>
      <c r="EU12" s="30"/>
      <c r="EV12" s="30"/>
      <c r="EW12" s="30"/>
    </row>
    <row r="13" spans="1:153" ht="15" customHeight="1" x14ac:dyDescent="0.25">
      <c r="A13" s="46" t="s">
        <v>50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56"/>
      <c r="S13" s="56"/>
      <c r="T13" s="56"/>
      <c r="U13" s="56"/>
      <c r="V13" s="56"/>
      <c r="W13" s="56"/>
      <c r="X13" s="56"/>
      <c r="Y13" s="56"/>
      <c r="Z13" s="56" t="s">
        <v>40</v>
      </c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62"/>
      <c r="AN13" s="62"/>
      <c r="AO13" s="62"/>
      <c r="AP13" s="62"/>
      <c r="AQ13" s="64"/>
      <c r="AR13" s="62"/>
      <c r="AS13" s="62"/>
      <c r="AT13" s="62"/>
      <c r="AU13" s="62"/>
      <c r="AV13" s="62"/>
      <c r="AW13" s="62"/>
      <c r="AX13" s="62"/>
      <c r="AY13" s="62"/>
      <c r="AZ13" s="62"/>
      <c r="BA13" s="62"/>
      <c r="BB13" s="62"/>
      <c r="BC13" s="62"/>
      <c r="BD13" s="62"/>
      <c r="BE13" s="62"/>
      <c r="BF13" s="62"/>
      <c r="BG13" s="62"/>
      <c r="BH13" s="62"/>
      <c r="BI13" s="62"/>
      <c r="BJ13" s="62"/>
      <c r="BK13" s="62"/>
      <c r="BL13" s="62"/>
      <c r="BM13" s="62"/>
      <c r="BN13" s="62"/>
      <c r="BO13" s="62"/>
      <c r="BP13" s="62"/>
      <c r="BQ13" s="62"/>
      <c r="BR13" s="62"/>
      <c r="BS13" s="62"/>
      <c r="BT13" s="62"/>
      <c r="BU13" s="62"/>
      <c r="BV13" s="62"/>
      <c r="BW13" s="62"/>
      <c r="BX13" s="62"/>
      <c r="BY13" s="62"/>
      <c r="BZ13" s="62"/>
      <c r="CA13" s="62"/>
      <c r="CB13" s="62"/>
      <c r="EU13" s="30"/>
      <c r="EV13" s="30"/>
      <c r="EW13" s="30"/>
    </row>
    <row r="14" spans="1:153" ht="15" customHeight="1" x14ac:dyDescent="0.3">
      <c r="A14" s="47" t="s">
        <v>51</v>
      </c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0"/>
      <c r="AW14" s="30"/>
      <c r="AX14" s="30"/>
      <c r="AY14" s="30"/>
      <c r="AZ14" s="30"/>
      <c r="BA14" s="30"/>
      <c r="BB14" s="30"/>
      <c r="BC14" s="30"/>
      <c r="BD14" s="30"/>
      <c r="EU14" s="30"/>
      <c r="EV14" s="30"/>
      <c r="EW14" s="30"/>
    </row>
    <row r="15" spans="1:153" ht="15" customHeight="1" x14ac:dyDescent="0.25">
      <c r="A15" s="52" t="s">
        <v>52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56" t="s">
        <v>40</v>
      </c>
      <c r="S15" s="56" t="s">
        <v>40</v>
      </c>
      <c r="T15" s="56" t="s">
        <v>40</v>
      </c>
      <c r="U15" s="56" t="s">
        <v>40</v>
      </c>
      <c r="V15" s="56" t="s">
        <v>40</v>
      </c>
      <c r="W15" s="56" t="s">
        <v>40</v>
      </c>
      <c r="X15" s="56" t="s">
        <v>40</v>
      </c>
      <c r="Y15" s="56" t="s">
        <v>40</v>
      </c>
      <c r="Z15" s="56" t="s">
        <v>40</v>
      </c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 t="s">
        <v>40</v>
      </c>
      <c r="AS15" s="56" t="s">
        <v>40</v>
      </c>
      <c r="AT15" s="56" t="s">
        <v>40</v>
      </c>
      <c r="AU15" s="56" t="s">
        <v>40</v>
      </c>
      <c r="AV15" s="56" t="s">
        <v>40</v>
      </c>
      <c r="AW15" s="56"/>
      <c r="AX15" s="56"/>
      <c r="AY15" s="56"/>
      <c r="AZ15" s="56"/>
      <c r="BA15" s="56"/>
      <c r="BB15" s="56"/>
      <c r="BC15" s="56"/>
      <c r="BD15" s="56"/>
      <c r="BE15" s="56" t="s">
        <v>40</v>
      </c>
      <c r="BF15" s="56"/>
      <c r="BG15" s="56"/>
      <c r="BH15" s="56" t="s">
        <v>40</v>
      </c>
      <c r="BI15" s="56"/>
      <c r="BJ15" s="56"/>
      <c r="BK15" s="56"/>
      <c r="BL15" s="56"/>
      <c r="BM15" s="56" t="s">
        <v>40</v>
      </c>
      <c r="BN15" s="56" t="s">
        <v>40</v>
      </c>
      <c r="BO15" s="56" t="s">
        <v>40</v>
      </c>
      <c r="BP15" s="56" t="s">
        <v>40</v>
      </c>
      <c r="BQ15" s="56"/>
      <c r="BR15" s="56"/>
      <c r="BS15" s="56"/>
      <c r="BT15" s="56"/>
      <c r="BU15" s="56"/>
      <c r="BV15" s="56"/>
      <c r="BW15" s="56"/>
      <c r="BX15" s="56"/>
      <c r="BY15" s="56" t="s">
        <v>40</v>
      </c>
      <c r="BZ15" s="56"/>
      <c r="CA15" s="56"/>
      <c r="CB15" s="56" t="s">
        <v>40</v>
      </c>
      <c r="EU15" s="30"/>
      <c r="EV15" s="30"/>
      <c r="EW15" s="30"/>
    </row>
    <row r="16" spans="1:153" ht="15" customHeight="1" x14ac:dyDescent="0.25">
      <c r="A16" s="52" t="s">
        <v>53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 t="s">
        <v>40</v>
      </c>
      <c r="AD16" s="56" t="s">
        <v>40</v>
      </c>
      <c r="AE16" s="56" t="s">
        <v>40</v>
      </c>
      <c r="AF16" s="56" t="s">
        <v>40</v>
      </c>
      <c r="AG16" s="56" t="s">
        <v>40</v>
      </c>
      <c r="AH16" s="56"/>
      <c r="AI16" s="56"/>
      <c r="AJ16" s="56"/>
      <c r="AK16" s="56"/>
      <c r="AL16" s="56"/>
      <c r="AM16" s="56"/>
      <c r="AN16" s="56"/>
      <c r="AO16" s="56"/>
      <c r="AP16" s="56"/>
      <c r="AQ16" s="56"/>
      <c r="AR16" s="56"/>
      <c r="AS16" s="56"/>
      <c r="AT16" s="56"/>
      <c r="AU16" s="56"/>
      <c r="AV16" s="56"/>
      <c r="AW16" s="56" t="s">
        <v>40</v>
      </c>
      <c r="AX16" s="56" t="s">
        <v>40</v>
      </c>
      <c r="AY16" s="56" t="s">
        <v>40</v>
      </c>
      <c r="AZ16" s="56" t="s">
        <v>40</v>
      </c>
      <c r="BA16" s="56"/>
      <c r="BB16" s="56"/>
      <c r="BC16" s="56"/>
      <c r="BD16" s="56"/>
      <c r="BE16" s="56"/>
      <c r="BF16" s="56" t="s">
        <v>40</v>
      </c>
      <c r="BG16" s="56"/>
      <c r="BH16" s="56"/>
      <c r="BI16" s="56"/>
      <c r="BJ16" s="56"/>
      <c r="BK16" s="56"/>
      <c r="BL16" s="56"/>
      <c r="BM16" s="56"/>
      <c r="BN16" s="56"/>
      <c r="BO16" s="56"/>
      <c r="BP16" s="56"/>
      <c r="BQ16" s="56" t="s">
        <v>40</v>
      </c>
      <c r="BR16" s="56" t="s">
        <v>40</v>
      </c>
      <c r="BS16" s="56" t="s">
        <v>40</v>
      </c>
      <c r="BT16" s="56" t="s">
        <v>40</v>
      </c>
      <c r="BU16" s="56"/>
      <c r="BV16" s="56"/>
      <c r="BW16" s="56"/>
      <c r="BX16" s="56"/>
      <c r="BY16" s="56"/>
      <c r="BZ16" s="56" t="s">
        <v>40</v>
      </c>
      <c r="CA16" s="56"/>
      <c r="CB16" s="56"/>
      <c r="EU16" s="30"/>
      <c r="EV16" s="30"/>
      <c r="EW16" s="30"/>
    </row>
    <row r="17" spans="1:153" ht="15" customHeight="1" x14ac:dyDescent="0.25">
      <c r="A17" s="52" t="s">
        <v>54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56"/>
      <c r="S17" s="56"/>
      <c r="T17" s="56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 t="s">
        <v>40</v>
      </c>
      <c r="AI17" s="56" t="s">
        <v>40</v>
      </c>
      <c r="AJ17" s="56" t="s">
        <v>40</v>
      </c>
      <c r="AK17" s="56" t="s">
        <v>40</v>
      </c>
      <c r="AL17" s="56" t="s">
        <v>40</v>
      </c>
      <c r="AM17" s="56"/>
      <c r="AN17" s="56"/>
      <c r="AO17" s="56"/>
      <c r="AP17" s="56"/>
      <c r="AQ17" s="56"/>
      <c r="AR17" s="56"/>
      <c r="AS17" s="56"/>
      <c r="AT17" s="56"/>
      <c r="AU17" s="56"/>
      <c r="AV17" s="56"/>
      <c r="AW17" s="56"/>
      <c r="AX17" s="56"/>
      <c r="AY17" s="56"/>
      <c r="AZ17" s="56"/>
      <c r="BA17" s="56" t="s">
        <v>40</v>
      </c>
      <c r="BB17" s="56" t="s">
        <v>40</v>
      </c>
      <c r="BC17" s="56" t="s">
        <v>40</v>
      </c>
      <c r="BD17" s="56" t="s">
        <v>40</v>
      </c>
      <c r="BE17" s="56"/>
      <c r="BF17" s="56"/>
      <c r="BG17" s="56" t="s">
        <v>40</v>
      </c>
      <c r="BH17" s="56"/>
      <c r="BI17" s="56"/>
      <c r="BJ17" s="56"/>
      <c r="BK17" s="56"/>
      <c r="BL17" s="56"/>
      <c r="BM17" s="56"/>
      <c r="BN17" s="56"/>
      <c r="BO17" s="56"/>
      <c r="BP17" s="56"/>
      <c r="BQ17" s="56"/>
      <c r="BR17" s="56"/>
      <c r="BS17" s="56"/>
      <c r="BT17" s="56"/>
      <c r="BU17" s="56" t="s">
        <v>40</v>
      </c>
      <c r="BV17" s="56" t="s">
        <v>40</v>
      </c>
      <c r="BW17" s="56" t="s">
        <v>40</v>
      </c>
      <c r="BX17" s="56" t="s">
        <v>40</v>
      </c>
      <c r="BY17" s="56"/>
      <c r="BZ17" s="56"/>
      <c r="CA17" s="56" t="s">
        <v>40</v>
      </c>
      <c r="CB17" s="56"/>
      <c r="EU17" s="30"/>
      <c r="EV17" s="30"/>
      <c r="EW17" s="30"/>
    </row>
    <row r="18" spans="1:153" ht="15" customHeight="1" x14ac:dyDescent="0.3">
      <c r="A18" s="47" t="s">
        <v>55</v>
      </c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EU18" s="30"/>
      <c r="EV18" s="30"/>
      <c r="EW18" s="30"/>
    </row>
    <row r="19" spans="1:153" ht="15" hidden="1" customHeight="1" x14ac:dyDescent="0.25">
      <c r="A19" s="52" t="s">
        <v>56</v>
      </c>
      <c r="B19" s="56"/>
      <c r="C19" s="56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  <c r="AO19" s="56"/>
      <c r="AP19" s="56"/>
      <c r="AQ19" s="56"/>
      <c r="AR19" s="56" t="s">
        <v>40</v>
      </c>
      <c r="AS19" s="56"/>
      <c r="AT19" s="56" t="s">
        <v>40</v>
      </c>
      <c r="AU19" s="56"/>
      <c r="AV19" s="56"/>
      <c r="AW19" s="56" t="s">
        <v>40</v>
      </c>
      <c r="AX19" s="56"/>
      <c r="AY19" s="56" t="s">
        <v>40</v>
      </c>
      <c r="AZ19" s="56"/>
      <c r="BA19" s="56" t="s">
        <v>40</v>
      </c>
      <c r="BB19" s="56"/>
      <c r="BC19" s="56" t="s">
        <v>40</v>
      </c>
      <c r="BD19" s="56"/>
      <c r="BE19" s="56" t="s">
        <v>40</v>
      </c>
      <c r="BF19" s="56" t="s">
        <v>40</v>
      </c>
      <c r="BG19" s="56" t="s">
        <v>40</v>
      </c>
      <c r="BH19" s="56" t="s">
        <v>40</v>
      </c>
      <c r="BI19" s="56"/>
      <c r="BJ19" s="56"/>
      <c r="BK19" s="56"/>
      <c r="BL19" s="56"/>
      <c r="BM19" s="56" t="s">
        <v>40</v>
      </c>
      <c r="BN19" s="56"/>
      <c r="BO19" s="56"/>
      <c r="BP19" s="56" t="s">
        <v>40</v>
      </c>
      <c r="BQ19" s="56" t="s">
        <v>40</v>
      </c>
      <c r="BR19" s="56"/>
      <c r="BS19" s="56"/>
      <c r="BT19" s="56" t="s">
        <v>40</v>
      </c>
      <c r="BU19" s="56" t="s">
        <v>40</v>
      </c>
      <c r="BV19" s="56"/>
      <c r="BW19" s="56"/>
      <c r="BX19" s="56" t="s">
        <v>40</v>
      </c>
      <c r="BY19" s="56" t="s">
        <v>40</v>
      </c>
      <c r="BZ19" s="56" t="s">
        <v>40</v>
      </c>
      <c r="CA19" s="56" t="s">
        <v>40</v>
      </c>
      <c r="CB19" s="56" t="s">
        <v>40</v>
      </c>
      <c r="EU19" s="30"/>
      <c r="EV19" s="30"/>
      <c r="EW19" s="30"/>
    </row>
    <row r="20" spans="1:153" ht="15" customHeight="1" x14ac:dyDescent="0.25">
      <c r="A20" s="52" t="s">
        <v>57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2"/>
      <c r="Q20" s="62"/>
      <c r="R20" s="56" t="s">
        <v>40</v>
      </c>
      <c r="S20" s="56" t="s">
        <v>40</v>
      </c>
      <c r="T20" s="56" t="s">
        <v>40</v>
      </c>
      <c r="U20" s="56" t="s">
        <v>40</v>
      </c>
      <c r="V20" s="56" t="s">
        <v>40</v>
      </c>
      <c r="W20" s="56" t="s">
        <v>40</v>
      </c>
      <c r="X20" s="56" t="s">
        <v>40</v>
      </c>
      <c r="Y20" s="56" t="s">
        <v>40</v>
      </c>
      <c r="Z20" s="56"/>
      <c r="AA20" s="56"/>
      <c r="AB20" s="56"/>
      <c r="AC20" s="56" t="s">
        <v>40</v>
      </c>
      <c r="AD20" s="56" t="s">
        <v>40</v>
      </c>
      <c r="AE20" s="56" t="s">
        <v>40</v>
      </c>
      <c r="AF20" s="56" t="s">
        <v>40</v>
      </c>
      <c r="AG20" s="56" t="s">
        <v>40</v>
      </c>
      <c r="AH20" s="56" t="s">
        <v>40</v>
      </c>
      <c r="AI20" s="56" t="s">
        <v>40</v>
      </c>
      <c r="AJ20" s="56" t="s">
        <v>40</v>
      </c>
      <c r="AK20" s="56" t="s">
        <v>40</v>
      </c>
      <c r="AL20" s="56" t="s">
        <v>40</v>
      </c>
      <c r="AM20" s="56"/>
      <c r="AN20" s="56"/>
      <c r="AO20" s="56"/>
      <c r="AP20" s="56"/>
      <c r="AQ20" s="56"/>
      <c r="AR20" s="56"/>
      <c r="AS20" s="56" t="s">
        <v>40</v>
      </c>
      <c r="AT20" s="56"/>
      <c r="AU20" s="56"/>
      <c r="AV20" s="56"/>
      <c r="AW20" s="56"/>
      <c r="AX20" s="56" t="s">
        <v>40</v>
      </c>
      <c r="AY20" s="56"/>
      <c r="AZ20" s="56"/>
      <c r="BA20" s="56"/>
      <c r="BB20" s="56" t="s">
        <v>40</v>
      </c>
      <c r="BC20" s="56"/>
      <c r="BD20" s="56"/>
      <c r="BE20" s="56"/>
      <c r="BF20" s="56"/>
      <c r="BG20" s="56"/>
      <c r="BH20" s="56"/>
      <c r="BI20" s="56"/>
      <c r="BJ20" s="56"/>
      <c r="BK20" s="56"/>
      <c r="BL20" s="56"/>
      <c r="BM20" s="56"/>
      <c r="BN20" s="56" t="s">
        <v>40</v>
      </c>
      <c r="BO20" s="56"/>
      <c r="BP20" s="56"/>
      <c r="BQ20" s="56"/>
      <c r="BR20" s="56" t="s">
        <v>40</v>
      </c>
      <c r="BS20" s="56"/>
      <c r="BT20" s="56"/>
      <c r="BU20" s="56"/>
      <c r="BV20" s="56" t="s">
        <v>40</v>
      </c>
      <c r="BW20" s="56"/>
      <c r="BX20" s="56"/>
      <c r="BY20" s="56"/>
      <c r="BZ20" s="56"/>
      <c r="CA20" s="56"/>
      <c r="CB20" s="56"/>
      <c r="EU20" s="30"/>
      <c r="EV20" s="30"/>
      <c r="EW20" s="30"/>
    </row>
    <row r="21" spans="1:153" ht="15" customHeight="1" x14ac:dyDescent="0.25">
      <c r="A21" s="61" t="s">
        <v>58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56"/>
      <c r="S21" s="56"/>
      <c r="T21" s="56"/>
      <c r="U21" s="56"/>
      <c r="V21" s="56"/>
      <c r="W21" s="56"/>
      <c r="X21" s="56"/>
      <c r="Y21" s="56"/>
      <c r="Z21" s="56" t="s">
        <v>40</v>
      </c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6"/>
      <c r="AQ21" s="56"/>
      <c r="AR21" s="56"/>
      <c r="AS21" s="56"/>
      <c r="AT21" s="56"/>
      <c r="AU21" s="56"/>
      <c r="AV21" s="56" t="s">
        <v>40</v>
      </c>
      <c r="AW21" s="56"/>
      <c r="AX21" s="56"/>
      <c r="AY21" s="56"/>
      <c r="AZ21" s="56" t="s">
        <v>40</v>
      </c>
      <c r="BA21" s="56"/>
      <c r="BB21" s="56"/>
      <c r="BC21" s="56"/>
      <c r="BD21" s="56" t="s">
        <v>40</v>
      </c>
      <c r="BE21" s="56"/>
      <c r="BF21" s="56"/>
      <c r="BG21" s="56"/>
      <c r="BH21" s="56"/>
      <c r="BI21" s="56"/>
      <c r="BJ21" s="56"/>
      <c r="BK21" s="56"/>
      <c r="BL21" s="56"/>
      <c r="BM21" s="56"/>
      <c r="BN21" s="56"/>
      <c r="BO21" s="56" t="s">
        <v>40</v>
      </c>
      <c r="BP21" s="56"/>
      <c r="BQ21" s="56"/>
      <c r="BR21" s="56"/>
      <c r="BS21" s="56" t="s">
        <v>40</v>
      </c>
      <c r="BT21" s="56"/>
      <c r="BU21" s="56"/>
      <c r="BV21" s="56"/>
      <c r="BW21" s="56" t="s">
        <v>40</v>
      </c>
      <c r="BX21" s="56"/>
      <c r="BY21" s="56"/>
      <c r="BZ21" s="56"/>
      <c r="CA21" s="56"/>
      <c r="CB21" s="56"/>
      <c r="EU21" s="30"/>
      <c r="EV21" s="30"/>
      <c r="EW21" s="30"/>
    </row>
    <row r="22" spans="1:153" ht="15" customHeight="1" x14ac:dyDescent="0.3">
      <c r="A22" s="47" t="s">
        <v>59</v>
      </c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62"/>
      <c r="AN22" s="62"/>
      <c r="AO22" s="62"/>
      <c r="AP22" s="62"/>
      <c r="AQ22" s="62"/>
      <c r="AR22" s="62"/>
      <c r="AS22" s="62"/>
      <c r="AT22" s="62"/>
      <c r="AU22" s="62"/>
      <c r="AV22" s="62"/>
      <c r="AW22" s="62"/>
      <c r="AX22" s="62"/>
      <c r="AY22" s="62"/>
      <c r="AZ22" s="62"/>
      <c r="BA22" s="62"/>
      <c r="BB22" s="62"/>
      <c r="BC22" s="62"/>
      <c r="BD22" s="62"/>
      <c r="BE22" s="62"/>
      <c r="BF22" s="62"/>
      <c r="BG22" s="62"/>
      <c r="BH22" s="62"/>
      <c r="BI22" s="62"/>
      <c r="BJ22" s="62"/>
      <c r="BK22" s="62"/>
      <c r="BL22" s="62"/>
      <c r="BM22" s="62"/>
      <c r="BN22" s="62"/>
      <c r="BO22" s="62"/>
      <c r="BP22" s="62"/>
      <c r="BQ22" s="62"/>
      <c r="BR22" s="62"/>
      <c r="BS22" s="62"/>
      <c r="BT22" s="62"/>
      <c r="BU22" s="62"/>
      <c r="BV22" s="62"/>
      <c r="BW22" s="62"/>
      <c r="BX22" s="62"/>
      <c r="BY22" s="62"/>
      <c r="BZ22" s="62"/>
      <c r="CA22" s="62"/>
      <c r="CB22" s="62"/>
      <c r="EU22" s="30"/>
      <c r="EV22" s="30"/>
      <c r="EW22" s="30"/>
    </row>
    <row r="23" spans="1:153" ht="15" customHeight="1" x14ac:dyDescent="0.25">
      <c r="A23" s="52" t="s">
        <v>60</v>
      </c>
      <c r="B23" s="56" t="s">
        <v>40</v>
      </c>
      <c r="C23" s="56" t="s">
        <v>40</v>
      </c>
      <c r="D23" s="56"/>
      <c r="E23" s="56"/>
      <c r="F23" s="56"/>
      <c r="G23" s="56" t="s">
        <v>40</v>
      </c>
      <c r="H23" s="56" t="s">
        <v>40</v>
      </c>
      <c r="I23" s="56" t="s">
        <v>40</v>
      </c>
      <c r="J23" s="56" t="s">
        <v>40</v>
      </c>
      <c r="K23" s="56" t="s">
        <v>40</v>
      </c>
      <c r="L23" s="56" t="s">
        <v>40</v>
      </c>
      <c r="M23" s="56" t="s">
        <v>40</v>
      </c>
      <c r="N23" s="56" t="s">
        <v>40</v>
      </c>
      <c r="O23" s="56"/>
      <c r="P23" s="56"/>
      <c r="Q23" s="62"/>
      <c r="R23" s="62"/>
      <c r="S23" s="62"/>
      <c r="T23" s="62"/>
      <c r="U23" s="62"/>
      <c r="V23" s="62"/>
      <c r="W23" s="62"/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AH23" s="62"/>
      <c r="AI23" s="62"/>
      <c r="AJ23" s="62"/>
      <c r="AK23" s="62"/>
      <c r="AL23" s="62"/>
      <c r="AM23" s="62"/>
      <c r="AN23" s="62"/>
      <c r="AO23" s="62"/>
      <c r="AP23" s="62"/>
      <c r="AQ23" s="62"/>
      <c r="AR23" s="56" t="s">
        <v>40</v>
      </c>
      <c r="AS23" s="56" t="s">
        <v>40</v>
      </c>
      <c r="AT23" s="56" t="s">
        <v>40</v>
      </c>
      <c r="AU23" s="56"/>
      <c r="AV23" s="56"/>
      <c r="AW23" s="56" t="s">
        <v>40</v>
      </c>
      <c r="AX23" s="56" t="s">
        <v>40</v>
      </c>
      <c r="AY23" s="56" t="s">
        <v>40</v>
      </c>
      <c r="AZ23" s="56"/>
      <c r="BA23" s="56" t="s">
        <v>40</v>
      </c>
      <c r="BB23" s="56" t="s">
        <v>40</v>
      </c>
      <c r="BC23" s="56" t="s">
        <v>40</v>
      </c>
      <c r="BD23" s="56"/>
      <c r="BM23" s="56" t="s">
        <v>40</v>
      </c>
      <c r="BN23" s="56" t="s">
        <v>40</v>
      </c>
      <c r="BO23" s="56" t="s">
        <v>40</v>
      </c>
      <c r="BP23" s="56"/>
      <c r="BQ23" s="56" t="s">
        <v>40</v>
      </c>
      <c r="BR23" s="56" t="s">
        <v>40</v>
      </c>
      <c r="BS23" s="56" t="s">
        <v>40</v>
      </c>
      <c r="BT23" s="56"/>
      <c r="BU23" s="56" t="s">
        <v>40</v>
      </c>
      <c r="BV23" s="56" t="s">
        <v>40</v>
      </c>
      <c r="BW23" s="56" t="s">
        <v>40</v>
      </c>
      <c r="BX23" s="56"/>
      <c r="EU23" s="30"/>
      <c r="EV23" s="30"/>
      <c r="EW23" s="30"/>
    </row>
    <row r="24" spans="1:153" ht="15" customHeight="1" x14ac:dyDescent="0.25">
      <c r="A24" s="52" t="s">
        <v>61</v>
      </c>
      <c r="B24" s="56"/>
      <c r="C24" s="56"/>
      <c r="D24" s="56"/>
      <c r="E24" s="56"/>
      <c r="F24" s="56"/>
      <c r="G24" s="56"/>
      <c r="H24" s="56"/>
      <c r="I24" s="56"/>
      <c r="J24" s="56"/>
      <c r="K24" s="56"/>
      <c r="L24" s="56"/>
      <c r="M24" s="56"/>
      <c r="N24" s="56"/>
      <c r="O24" s="56" t="s">
        <v>40</v>
      </c>
      <c r="P24" s="56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  <c r="AE24" s="62"/>
      <c r="AF24" s="62"/>
      <c r="AG24" s="62"/>
      <c r="AH24" s="62"/>
      <c r="AI24" s="62"/>
      <c r="AJ24" s="62"/>
      <c r="AK24" s="62"/>
      <c r="AL24" s="62"/>
      <c r="AM24" s="62"/>
      <c r="AN24" s="62"/>
      <c r="AO24" s="62"/>
      <c r="AP24" s="62"/>
      <c r="AQ24" s="62"/>
      <c r="AR24" s="56"/>
      <c r="AS24" s="56"/>
      <c r="AT24" s="56"/>
      <c r="AU24" s="56"/>
      <c r="AV24" s="56"/>
      <c r="AW24" s="56"/>
      <c r="AX24" s="56"/>
      <c r="AY24" s="56"/>
      <c r="AZ24" s="56"/>
      <c r="BA24" s="56"/>
      <c r="BB24" s="56"/>
      <c r="BC24" s="56"/>
      <c r="BD24" s="56"/>
      <c r="BM24" s="56"/>
      <c r="BN24" s="56"/>
      <c r="BO24" s="56"/>
      <c r="BP24" s="56"/>
      <c r="BQ24" s="56"/>
      <c r="BR24" s="56"/>
      <c r="BS24" s="56"/>
      <c r="BT24" s="56"/>
      <c r="BU24" s="56"/>
      <c r="BV24" s="56"/>
      <c r="BW24" s="56"/>
      <c r="BX24" s="56"/>
      <c r="EU24" s="30"/>
      <c r="EV24" s="30"/>
      <c r="EW24" s="30"/>
    </row>
    <row r="25" spans="1:153" ht="15" customHeight="1" x14ac:dyDescent="0.25">
      <c r="A25" s="52" t="s">
        <v>62</v>
      </c>
      <c r="B25" s="56"/>
      <c r="C25" s="56"/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 t="s">
        <v>40</v>
      </c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62"/>
      <c r="AL25" s="62"/>
      <c r="AM25" s="62"/>
      <c r="AN25" s="62"/>
      <c r="AO25" s="62"/>
      <c r="AP25" s="62"/>
      <c r="AQ25" s="62"/>
      <c r="AR25" s="56"/>
      <c r="AS25" s="56"/>
      <c r="AT25" s="56"/>
      <c r="AU25" s="56"/>
      <c r="AV25" s="56" t="s">
        <v>40</v>
      </c>
      <c r="AW25" s="56"/>
      <c r="AX25" s="56"/>
      <c r="AY25" s="56"/>
      <c r="AZ25" s="56" t="s">
        <v>40</v>
      </c>
      <c r="BA25" s="56"/>
      <c r="BB25" s="56"/>
      <c r="BC25" s="56"/>
      <c r="BD25" s="56" t="s">
        <v>40</v>
      </c>
      <c r="BM25" s="56"/>
      <c r="BN25" s="56"/>
      <c r="BO25" s="56"/>
      <c r="BP25" s="56" t="s">
        <v>40</v>
      </c>
      <c r="BQ25" s="56"/>
      <c r="BR25" s="56"/>
      <c r="BS25" s="56"/>
      <c r="BT25" s="56" t="s">
        <v>40</v>
      </c>
      <c r="BU25" s="56"/>
      <c r="BV25" s="56"/>
      <c r="BW25" s="56"/>
      <c r="BX25" s="56" t="s">
        <v>40</v>
      </c>
      <c r="EU25" s="30"/>
      <c r="EV25" s="30"/>
      <c r="EW25" s="30"/>
    </row>
    <row r="26" spans="1:153" ht="15" customHeight="1" x14ac:dyDescent="0.3">
      <c r="A26" s="47" t="s">
        <v>63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  <c r="AG26" s="62"/>
      <c r="AH26" s="62"/>
      <c r="AI26" s="62"/>
      <c r="AJ26" s="62"/>
      <c r="AK26" s="62"/>
      <c r="AL26" s="62"/>
      <c r="AM26" s="62"/>
      <c r="AN26" s="62"/>
      <c r="AO26" s="62"/>
      <c r="AP26" s="62"/>
      <c r="AQ26" s="62"/>
      <c r="AR26" s="62"/>
      <c r="AS26" s="62"/>
      <c r="AT26" s="62"/>
      <c r="AU26" s="62"/>
      <c r="AV26" s="62"/>
      <c r="AW26" s="62"/>
      <c r="AX26" s="62"/>
      <c r="AY26" s="62"/>
      <c r="AZ26" s="62"/>
      <c r="BA26" s="62"/>
      <c r="BB26" s="62"/>
      <c r="BC26" s="62"/>
      <c r="BD26" s="62"/>
      <c r="BM26" s="62"/>
      <c r="BN26" s="62"/>
      <c r="BO26" s="62"/>
      <c r="BP26" s="62"/>
      <c r="BQ26" s="62"/>
      <c r="BR26" s="62"/>
      <c r="BS26" s="62"/>
      <c r="BT26" s="62"/>
      <c r="BU26" s="62"/>
      <c r="BV26" s="62"/>
      <c r="BW26" s="62"/>
      <c r="BX26" s="62"/>
      <c r="EU26" s="30"/>
      <c r="EV26" s="30"/>
      <c r="EW26" s="30"/>
    </row>
    <row r="27" spans="1:153" ht="15" customHeight="1" x14ac:dyDescent="0.3">
      <c r="A27" s="47" t="s">
        <v>64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  <c r="AF27" s="62"/>
      <c r="AG27" s="62"/>
      <c r="AH27" s="62"/>
      <c r="AI27" s="62"/>
      <c r="AJ27" s="62"/>
      <c r="AK27" s="62"/>
      <c r="AL27" s="62"/>
      <c r="AM27" s="62"/>
      <c r="AN27" s="62"/>
      <c r="AO27" s="62"/>
      <c r="AP27" s="62"/>
      <c r="AQ27" s="62"/>
      <c r="AR27" s="62"/>
      <c r="AS27" s="62"/>
      <c r="AT27" s="62"/>
      <c r="AU27" s="62"/>
      <c r="AV27" s="62"/>
      <c r="AW27" s="62"/>
      <c r="AX27" s="62"/>
      <c r="AY27" s="62"/>
      <c r="AZ27" s="62"/>
      <c r="BA27" s="62"/>
      <c r="BB27" s="62"/>
      <c r="BC27" s="62"/>
      <c r="BD27" s="62"/>
      <c r="BM27" s="62"/>
      <c r="BN27" s="62"/>
      <c r="BO27" s="62"/>
      <c r="BP27" s="62"/>
      <c r="BQ27" s="62"/>
      <c r="BR27" s="62"/>
      <c r="BS27" s="62"/>
      <c r="BT27" s="62"/>
      <c r="BU27" s="62"/>
      <c r="BV27" s="62"/>
      <c r="BW27" s="62"/>
      <c r="BX27" s="62"/>
      <c r="EU27" s="30"/>
      <c r="EV27" s="30"/>
      <c r="EW27" s="30"/>
    </row>
    <row r="28" spans="1:153" ht="15" customHeight="1" x14ac:dyDescent="0.25">
      <c r="A28" s="52" t="s">
        <v>65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56" t="s">
        <v>40</v>
      </c>
      <c r="S28" s="56" t="s">
        <v>40</v>
      </c>
      <c r="T28" s="56" t="s">
        <v>40</v>
      </c>
      <c r="U28" s="56" t="s">
        <v>40</v>
      </c>
      <c r="V28" s="56" t="s">
        <v>40</v>
      </c>
      <c r="W28" s="56" t="s">
        <v>40</v>
      </c>
      <c r="X28" s="56" t="s">
        <v>40</v>
      </c>
      <c r="Y28" s="56" t="s">
        <v>40</v>
      </c>
      <c r="Z28" s="56"/>
      <c r="AA28" s="56"/>
      <c r="AB28" s="56"/>
      <c r="AC28" s="56" t="s">
        <v>40</v>
      </c>
      <c r="AD28" s="56" t="s">
        <v>40</v>
      </c>
      <c r="AE28" s="56" t="s">
        <v>40</v>
      </c>
      <c r="AF28" s="56" t="s">
        <v>40</v>
      </c>
      <c r="AG28" s="56" t="s">
        <v>40</v>
      </c>
      <c r="AH28" s="56" t="s">
        <v>40</v>
      </c>
      <c r="AI28" s="56" t="s">
        <v>40</v>
      </c>
      <c r="AJ28" s="56" t="s">
        <v>40</v>
      </c>
      <c r="AK28" s="56" t="s">
        <v>40</v>
      </c>
      <c r="AL28" s="56" t="s">
        <v>40</v>
      </c>
      <c r="AM28" s="62"/>
      <c r="AN28" s="62"/>
      <c r="AO28" s="62"/>
      <c r="AP28" s="62"/>
      <c r="AQ28" s="62"/>
      <c r="AR28" s="62"/>
      <c r="AS28" s="62"/>
      <c r="AT28" s="62"/>
      <c r="AU28" s="62"/>
      <c r="AV28" s="62"/>
      <c r="AW28" s="62"/>
      <c r="AX28" s="62"/>
      <c r="AY28" s="62"/>
      <c r="AZ28" s="62"/>
      <c r="BA28" s="62"/>
      <c r="BB28" s="62"/>
      <c r="BC28" s="62"/>
      <c r="BD28" s="62"/>
      <c r="BM28" s="62"/>
      <c r="BN28" s="62"/>
      <c r="BO28" s="62"/>
      <c r="BP28" s="62"/>
      <c r="BQ28" s="62"/>
      <c r="BR28" s="62"/>
      <c r="BS28" s="62"/>
      <c r="BT28" s="62"/>
      <c r="BU28" s="62"/>
      <c r="BV28" s="62"/>
      <c r="BW28" s="62"/>
      <c r="BX28" s="62"/>
      <c r="EU28" s="30"/>
      <c r="EV28" s="30"/>
      <c r="EW28" s="30"/>
    </row>
    <row r="29" spans="1:153" ht="15" customHeight="1" x14ac:dyDescent="0.25">
      <c r="A29" s="52" t="s">
        <v>66</v>
      </c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56"/>
      <c r="S29" s="56"/>
      <c r="T29" s="56"/>
      <c r="U29" s="56"/>
      <c r="V29" s="56"/>
      <c r="W29" s="56"/>
      <c r="X29" s="56"/>
      <c r="Y29" s="56"/>
      <c r="Z29" s="56" t="s">
        <v>40</v>
      </c>
      <c r="AA29" s="56"/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56"/>
      <c r="AM29" s="62"/>
      <c r="AN29" s="62"/>
      <c r="AO29" s="62"/>
      <c r="AP29" s="62"/>
      <c r="AQ29" s="62"/>
      <c r="AR29" s="62"/>
      <c r="AS29" s="62"/>
      <c r="AT29" s="62"/>
      <c r="AU29" s="62"/>
      <c r="AV29" s="62"/>
      <c r="AW29" s="62"/>
      <c r="AX29" s="62"/>
      <c r="AY29" s="62"/>
      <c r="AZ29" s="62"/>
      <c r="BA29" s="62"/>
      <c r="BB29" s="62"/>
      <c r="BC29" s="62"/>
      <c r="BD29" s="62"/>
      <c r="BM29" s="62"/>
      <c r="BN29" s="62"/>
      <c r="BO29" s="62"/>
      <c r="BP29" s="62"/>
      <c r="BQ29" s="62"/>
      <c r="BR29" s="62"/>
      <c r="BS29" s="62"/>
      <c r="BT29" s="62"/>
      <c r="BU29" s="62"/>
      <c r="BV29" s="62"/>
      <c r="BW29" s="62"/>
      <c r="BX29" s="62"/>
      <c r="EU29" s="30"/>
      <c r="EV29" s="30"/>
      <c r="EW29" s="30"/>
    </row>
    <row r="30" spans="1:153" ht="15" customHeight="1" x14ac:dyDescent="0.3">
      <c r="A30" s="47" t="s">
        <v>67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62"/>
      <c r="AC30" s="62"/>
      <c r="AD30" s="62"/>
      <c r="AE30" s="62"/>
      <c r="AF30" s="62"/>
      <c r="AG30" s="62"/>
      <c r="AH30" s="62"/>
      <c r="AI30" s="62"/>
      <c r="AJ30" s="62"/>
      <c r="AK30" s="62"/>
      <c r="AL30" s="62"/>
      <c r="AM30" s="62"/>
      <c r="AN30" s="62"/>
      <c r="AO30" s="62"/>
      <c r="AP30" s="62"/>
      <c r="AQ30" s="62"/>
      <c r="AR30" s="62"/>
      <c r="AS30" s="62"/>
      <c r="AT30" s="62"/>
      <c r="AU30" s="62"/>
      <c r="AV30" s="62"/>
      <c r="AW30" s="62"/>
      <c r="AX30" s="62"/>
      <c r="AY30" s="62"/>
      <c r="AZ30" s="62"/>
      <c r="BA30" s="62"/>
      <c r="BB30" s="62"/>
      <c r="BC30" s="62"/>
      <c r="BD30" s="62"/>
      <c r="BM30" s="62"/>
      <c r="BN30" s="62"/>
      <c r="BO30" s="62"/>
      <c r="BP30" s="62"/>
      <c r="BQ30" s="62"/>
      <c r="BR30" s="62"/>
      <c r="BS30" s="62"/>
      <c r="BT30" s="62"/>
      <c r="BU30" s="62"/>
      <c r="BV30" s="62"/>
      <c r="BW30" s="62"/>
      <c r="BX30" s="62"/>
      <c r="EU30" s="30"/>
      <c r="EV30" s="30"/>
      <c r="EW30" s="30"/>
    </row>
    <row r="31" spans="1:153" ht="15" customHeight="1" x14ac:dyDescent="0.25">
      <c r="A31" s="52" t="s">
        <v>65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56" t="s">
        <v>40</v>
      </c>
      <c r="S31" s="56" t="s">
        <v>40</v>
      </c>
      <c r="T31" s="56" t="s">
        <v>40</v>
      </c>
      <c r="U31" s="56" t="s">
        <v>40</v>
      </c>
      <c r="V31" s="56" t="s">
        <v>40</v>
      </c>
      <c r="W31" s="56" t="s">
        <v>40</v>
      </c>
      <c r="X31" s="56" t="s">
        <v>40</v>
      </c>
      <c r="Y31" s="56" t="s">
        <v>40</v>
      </c>
      <c r="Z31" s="56"/>
      <c r="AA31" s="56"/>
      <c r="AB31" s="56"/>
      <c r="AC31" s="56" t="s">
        <v>40</v>
      </c>
      <c r="AD31" s="56" t="s">
        <v>40</v>
      </c>
      <c r="AE31" s="56" t="s">
        <v>40</v>
      </c>
      <c r="AF31" s="56" t="s">
        <v>40</v>
      </c>
      <c r="AG31" s="56" t="s">
        <v>40</v>
      </c>
      <c r="AH31" s="56" t="s">
        <v>40</v>
      </c>
      <c r="AI31" s="56" t="s">
        <v>40</v>
      </c>
      <c r="AJ31" s="56" t="s">
        <v>40</v>
      </c>
      <c r="AK31" s="56" t="s">
        <v>40</v>
      </c>
      <c r="AL31" s="56" t="s">
        <v>40</v>
      </c>
      <c r="AM31" s="62"/>
      <c r="AN31" s="62"/>
      <c r="AO31" s="62"/>
      <c r="AP31" s="62"/>
      <c r="AQ31" s="62"/>
      <c r="AR31" s="62"/>
      <c r="AS31" s="62"/>
      <c r="AT31" s="62"/>
      <c r="AU31" s="62"/>
      <c r="AV31" s="62"/>
      <c r="AW31" s="62"/>
      <c r="AX31" s="62"/>
      <c r="AY31" s="62"/>
      <c r="AZ31" s="62"/>
      <c r="BA31" s="62"/>
      <c r="BB31" s="62"/>
      <c r="BC31" s="62"/>
      <c r="BD31" s="62"/>
      <c r="BM31" s="62"/>
      <c r="BN31" s="62"/>
      <c r="BO31" s="62"/>
      <c r="BP31" s="62"/>
      <c r="BQ31" s="62"/>
      <c r="BR31" s="62"/>
      <c r="BS31" s="62"/>
      <c r="BT31" s="62"/>
      <c r="BU31" s="62"/>
      <c r="BV31" s="62"/>
      <c r="BW31" s="62"/>
      <c r="BX31" s="62"/>
      <c r="EU31" s="30"/>
      <c r="EV31" s="30"/>
      <c r="EW31" s="30"/>
    </row>
    <row r="32" spans="1:153" ht="15" customHeight="1" x14ac:dyDescent="0.25">
      <c r="A32" s="52" t="s">
        <v>66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56"/>
      <c r="S32" s="56"/>
      <c r="T32" s="56"/>
      <c r="U32" s="56"/>
      <c r="V32" s="56"/>
      <c r="W32" s="56"/>
      <c r="X32" s="56"/>
      <c r="Y32" s="56"/>
      <c r="Z32" s="56" t="s">
        <v>40</v>
      </c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62"/>
      <c r="AN32" s="62"/>
      <c r="AO32" s="62"/>
      <c r="AP32" s="62"/>
      <c r="AQ32" s="62"/>
      <c r="AR32" s="62"/>
      <c r="AS32" s="62"/>
      <c r="AT32" s="62"/>
      <c r="AU32" s="62"/>
      <c r="AV32" s="62"/>
      <c r="AW32" s="62"/>
      <c r="AX32" s="62"/>
      <c r="AY32" s="62"/>
      <c r="AZ32" s="62"/>
      <c r="BA32" s="62"/>
      <c r="BB32" s="62"/>
      <c r="BC32" s="62"/>
      <c r="BD32" s="62"/>
      <c r="BM32" s="62"/>
      <c r="BN32" s="62"/>
      <c r="BO32" s="62"/>
      <c r="BP32" s="62"/>
      <c r="BQ32" s="62"/>
      <c r="BR32" s="62"/>
      <c r="BS32" s="62"/>
      <c r="BT32" s="62"/>
      <c r="BU32" s="62"/>
      <c r="BV32" s="62"/>
      <c r="BW32" s="62"/>
      <c r="BX32" s="62"/>
      <c r="EU32" s="30"/>
      <c r="EV32" s="30"/>
      <c r="EW32" s="30"/>
    </row>
    <row r="33" spans="1:153" ht="15" customHeight="1" x14ac:dyDescent="0.3">
      <c r="A33" s="47" t="s">
        <v>68</v>
      </c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62"/>
      <c r="AJ33" s="62"/>
      <c r="AK33" s="62"/>
      <c r="AL33" s="62"/>
      <c r="AM33" s="62"/>
      <c r="AN33" s="62"/>
      <c r="AO33" s="62"/>
      <c r="AP33" s="62"/>
      <c r="AQ33" s="62"/>
      <c r="AR33" s="62"/>
      <c r="AS33" s="62"/>
      <c r="AT33" s="62"/>
      <c r="AU33" s="62"/>
      <c r="AV33" s="62"/>
      <c r="AW33" s="62"/>
      <c r="AX33" s="62"/>
      <c r="AY33" s="62"/>
      <c r="AZ33" s="62"/>
      <c r="BA33" s="62"/>
      <c r="BB33" s="62"/>
      <c r="BC33" s="62"/>
      <c r="BD33" s="62"/>
      <c r="BM33" s="62"/>
      <c r="BN33" s="62"/>
      <c r="BO33" s="62"/>
      <c r="BP33" s="62"/>
      <c r="BQ33" s="62"/>
      <c r="BR33" s="62"/>
      <c r="BS33" s="62"/>
      <c r="BT33" s="62"/>
      <c r="BU33" s="62"/>
      <c r="BV33" s="62"/>
      <c r="BW33" s="62"/>
      <c r="BX33" s="62"/>
      <c r="EU33" s="30"/>
      <c r="EV33" s="30"/>
      <c r="EW33" s="30"/>
    </row>
    <row r="34" spans="1:153" ht="15" customHeight="1" x14ac:dyDescent="0.25">
      <c r="A34" s="52" t="s">
        <v>65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56" t="s">
        <v>40</v>
      </c>
      <c r="S34" s="56" t="s">
        <v>40</v>
      </c>
      <c r="T34" s="56" t="s">
        <v>40</v>
      </c>
      <c r="U34" s="56" t="s">
        <v>40</v>
      </c>
      <c r="V34" s="56" t="s">
        <v>40</v>
      </c>
      <c r="W34" s="56" t="s">
        <v>40</v>
      </c>
      <c r="X34" s="56" t="s">
        <v>40</v>
      </c>
      <c r="Y34" s="56" t="s">
        <v>40</v>
      </c>
      <c r="Z34" s="56"/>
      <c r="AA34" s="56"/>
      <c r="AB34" s="56"/>
      <c r="AC34" s="56" t="s">
        <v>40</v>
      </c>
      <c r="AD34" s="56" t="s">
        <v>40</v>
      </c>
      <c r="AE34" s="56" t="s">
        <v>40</v>
      </c>
      <c r="AF34" s="56" t="s">
        <v>40</v>
      </c>
      <c r="AG34" s="56" t="s">
        <v>40</v>
      </c>
      <c r="AH34" s="56" t="s">
        <v>40</v>
      </c>
      <c r="AI34" s="56" t="s">
        <v>40</v>
      </c>
      <c r="AJ34" s="56" t="s">
        <v>40</v>
      </c>
      <c r="AK34" s="56" t="s">
        <v>40</v>
      </c>
      <c r="AL34" s="56" t="s">
        <v>40</v>
      </c>
      <c r="AM34" s="62"/>
      <c r="AN34" s="62"/>
      <c r="AO34" s="62"/>
      <c r="AP34" s="62"/>
      <c r="AQ34" s="62"/>
      <c r="AR34" s="62"/>
      <c r="AS34" s="62"/>
      <c r="AT34" s="62"/>
      <c r="AU34" s="62"/>
      <c r="AV34" s="62"/>
      <c r="AW34" s="62"/>
      <c r="AX34" s="62"/>
      <c r="AY34" s="62"/>
      <c r="AZ34" s="62"/>
      <c r="BA34" s="62"/>
      <c r="BB34" s="62"/>
      <c r="BC34" s="62"/>
      <c r="BD34" s="62"/>
      <c r="BM34" s="62"/>
      <c r="BN34" s="62"/>
      <c r="BO34" s="62"/>
      <c r="BP34" s="62"/>
      <c r="BQ34" s="62"/>
      <c r="BR34" s="62"/>
      <c r="BS34" s="62"/>
      <c r="BT34" s="62"/>
      <c r="BU34" s="62"/>
      <c r="BV34" s="62"/>
      <c r="BW34" s="62"/>
      <c r="BX34" s="62"/>
      <c r="EU34" s="30"/>
      <c r="EV34" s="30"/>
      <c r="EW34" s="30"/>
    </row>
    <row r="35" spans="1:153" ht="15" customHeight="1" x14ac:dyDescent="0.25">
      <c r="A35" s="52" t="s">
        <v>66</v>
      </c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56"/>
      <c r="S35" s="56"/>
      <c r="T35" s="56"/>
      <c r="U35" s="56"/>
      <c r="V35" s="56"/>
      <c r="W35" s="56"/>
      <c r="X35" s="56"/>
      <c r="Y35" s="56"/>
      <c r="Z35" s="56" t="s">
        <v>40</v>
      </c>
      <c r="AA35" s="56"/>
      <c r="AB35" s="56"/>
      <c r="AC35" s="56"/>
      <c r="AD35" s="56"/>
      <c r="AE35" s="56"/>
      <c r="AF35" s="56"/>
      <c r="AG35" s="56"/>
      <c r="AH35" s="56"/>
      <c r="AI35" s="56"/>
      <c r="AJ35" s="56"/>
      <c r="AK35" s="56"/>
      <c r="AL35" s="56"/>
      <c r="AM35" s="62"/>
      <c r="AN35" s="62"/>
      <c r="AO35" s="62"/>
      <c r="AP35" s="62"/>
      <c r="AQ35" s="62"/>
      <c r="AR35" s="62"/>
      <c r="AS35" s="62"/>
      <c r="AT35" s="62"/>
      <c r="AU35" s="62"/>
      <c r="AV35" s="62"/>
      <c r="AW35" s="62"/>
      <c r="AX35" s="62"/>
      <c r="AY35" s="62"/>
      <c r="AZ35" s="62"/>
      <c r="BA35" s="62"/>
      <c r="BB35" s="62"/>
      <c r="BC35" s="62"/>
      <c r="BD35" s="62"/>
      <c r="BM35" s="62"/>
      <c r="BN35" s="62"/>
      <c r="BO35" s="62"/>
      <c r="BP35" s="62"/>
      <c r="BQ35" s="62"/>
      <c r="BR35" s="62"/>
      <c r="BS35" s="62"/>
      <c r="BT35" s="62"/>
      <c r="BU35" s="62"/>
      <c r="BV35" s="62"/>
      <c r="BW35" s="62"/>
      <c r="BX35" s="62"/>
      <c r="EU35" s="30"/>
      <c r="EV35" s="30"/>
      <c r="EW35" s="30"/>
    </row>
    <row r="36" spans="1:153" ht="15" customHeight="1" x14ac:dyDescent="0.3">
      <c r="A36" s="47" t="s">
        <v>69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62"/>
      <c r="AC36" s="62"/>
      <c r="AD36" s="62"/>
      <c r="AE36" s="62"/>
      <c r="AF36" s="62"/>
      <c r="AG36" s="62"/>
      <c r="AH36" s="62"/>
      <c r="AI36" s="62"/>
      <c r="AJ36" s="62"/>
      <c r="AK36" s="62"/>
      <c r="AL36" s="62"/>
      <c r="AM36" s="62"/>
      <c r="AN36" s="62"/>
      <c r="AO36" s="62"/>
      <c r="AP36" s="62"/>
      <c r="AQ36" s="62"/>
      <c r="AR36" s="62"/>
      <c r="AS36" s="62"/>
      <c r="AT36" s="62"/>
      <c r="AU36" s="62"/>
      <c r="AV36" s="62"/>
      <c r="AW36" s="62"/>
      <c r="AX36" s="62"/>
      <c r="AY36" s="62"/>
      <c r="AZ36" s="62"/>
      <c r="BA36" s="62"/>
      <c r="BB36" s="62"/>
      <c r="BC36" s="62"/>
      <c r="BD36" s="62"/>
      <c r="BM36" s="62"/>
      <c r="BN36" s="62"/>
      <c r="BO36" s="62"/>
      <c r="BP36" s="62"/>
      <c r="BQ36" s="62"/>
      <c r="BR36" s="62"/>
      <c r="BS36" s="62"/>
      <c r="BT36" s="62"/>
      <c r="BU36" s="62"/>
      <c r="BV36" s="62"/>
      <c r="BW36" s="62"/>
      <c r="BX36" s="62"/>
      <c r="EU36" s="30"/>
      <c r="EV36" s="30"/>
      <c r="EW36" s="30"/>
    </row>
    <row r="37" spans="1:153" ht="15" customHeight="1" x14ac:dyDescent="0.25">
      <c r="A37" s="52" t="s">
        <v>65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56" t="s">
        <v>40</v>
      </c>
      <c r="S37" s="56" t="s">
        <v>40</v>
      </c>
      <c r="T37" s="56" t="s">
        <v>40</v>
      </c>
      <c r="U37" s="56" t="s">
        <v>40</v>
      </c>
      <c r="V37" s="56" t="s">
        <v>40</v>
      </c>
      <c r="W37" s="56" t="s">
        <v>40</v>
      </c>
      <c r="X37" s="56" t="s">
        <v>40</v>
      </c>
      <c r="Y37" s="56" t="s">
        <v>40</v>
      </c>
      <c r="Z37" s="56"/>
      <c r="AA37" s="56"/>
      <c r="AB37" s="56"/>
      <c r="AC37" s="56" t="s">
        <v>40</v>
      </c>
      <c r="AD37" s="56" t="s">
        <v>40</v>
      </c>
      <c r="AE37" s="56" t="s">
        <v>40</v>
      </c>
      <c r="AF37" s="56" t="s">
        <v>40</v>
      </c>
      <c r="AG37" s="56" t="s">
        <v>40</v>
      </c>
      <c r="AH37" s="56" t="s">
        <v>40</v>
      </c>
      <c r="AI37" s="56" t="s">
        <v>40</v>
      </c>
      <c r="AJ37" s="56" t="s">
        <v>40</v>
      </c>
      <c r="AK37" s="56" t="s">
        <v>40</v>
      </c>
      <c r="AL37" s="56" t="s">
        <v>40</v>
      </c>
      <c r="AM37" s="62"/>
      <c r="AN37" s="62"/>
      <c r="AO37" s="62"/>
      <c r="AP37" s="62"/>
      <c r="AQ37" s="62"/>
      <c r="AR37" s="62"/>
      <c r="AS37" s="62"/>
      <c r="AT37" s="62"/>
      <c r="AU37" s="62"/>
      <c r="AV37" s="62"/>
      <c r="AW37" s="62"/>
      <c r="AX37" s="62"/>
      <c r="AY37" s="62"/>
      <c r="AZ37" s="62"/>
      <c r="BA37" s="62"/>
      <c r="BB37" s="62"/>
      <c r="BC37" s="62"/>
      <c r="BD37" s="62"/>
      <c r="BM37" s="62"/>
      <c r="BN37" s="62"/>
      <c r="BO37" s="62"/>
      <c r="BP37" s="62"/>
      <c r="BQ37" s="62"/>
      <c r="BR37" s="62"/>
      <c r="BS37" s="62"/>
      <c r="BT37" s="62"/>
      <c r="BU37" s="62"/>
      <c r="BV37" s="62"/>
      <c r="BW37" s="62"/>
      <c r="BX37" s="62"/>
      <c r="EU37" s="30"/>
      <c r="EV37" s="30"/>
      <c r="EW37" s="30"/>
    </row>
    <row r="38" spans="1:153" ht="15" customHeight="1" x14ac:dyDescent="0.25">
      <c r="A38" s="52" t="s">
        <v>66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56"/>
      <c r="S38" s="56"/>
      <c r="T38" s="56"/>
      <c r="U38" s="56"/>
      <c r="V38" s="56"/>
      <c r="W38" s="56"/>
      <c r="X38" s="56"/>
      <c r="Y38" s="56"/>
      <c r="Z38" s="56" t="s">
        <v>40</v>
      </c>
      <c r="AA38" s="56"/>
      <c r="AB38" s="56"/>
      <c r="AC38" s="56"/>
      <c r="AD38" s="56"/>
      <c r="AE38" s="56"/>
      <c r="AF38" s="56"/>
      <c r="AG38" s="56"/>
      <c r="AH38" s="56"/>
      <c r="AI38" s="56"/>
      <c r="AJ38" s="56"/>
      <c r="AK38" s="56"/>
      <c r="AL38" s="56"/>
      <c r="AM38" s="62"/>
      <c r="AN38" s="62"/>
      <c r="AO38" s="62"/>
      <c r="AP38" s="62"/>
      <c r="AQ38" s="62"/>
      <c r="AR38" s="62"/>
      <c r="AS38" s="62"/>
      <c r="AT38" s="62"/>
      <c r="AU38" s="62"/>
      <c r="AV38" s="62"/>
      <c r="AW38" s="62"/>
      <c r="AX38" s="62"/>
      <c r="AY38" s="62"/>
      <c r="AZ38" s="62"/>
      <c r="BA38" s="62"/>
      <c r="BB38" s="62"/>
      <c r="BC38" s="62"/>
      <c r="BD38" s="62"/>
      <c r="BM38" s="62"/>
      <c r="BN38" s="62"/>
      <c r="BO38" s="62"/>
      <c r="BP38" s="62"/>
      <c r="BQ38" s="62"/>
      <c r="BR38" s="62"/>
      <c r="BS38" s="62"/>
      <c r="BT38" s="62"/>
      <c r="BU38" s="62"/>
      <c r="BV38" s="62"/>
      <c r="BW38" s="62"/>
      <c r="BX38" s="62"/>
      <c r="EU38" s="30"/>
      <c r="EV38" s="30"/>
      <c r="EW38" s="30"/>
    </row>
    <row r="39" spans="1:153" ht="15" customHeight="1" x14ac:dyDescent="0.3">
      <c r="A39" s="47" t="s">
        <v>70</v>
      </c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62"/>
      <c r="AC39" s="62"/>
      <c r="AD39" s="62"/>
      <c r="AE39" s="62"/>
      <c r="AF39" s="62"/>
      <c r="AG39" s="62"/>
      <c r="AH39" s="62"/>
      <c r="AI39" s="62"/>
      <c r="AJ39" s="62"/>
      <c r="AK39" s="62"/>
      <c r="AL39" s="62"/>
      <c r="AM39" s="62"/>
      <c r="AN39" s="62"/>
      <c r="AO39" s="62"/>
      <c r="AP39" s="62"/>
      <c r="AQ39" s="62"/>
      <c r="AR39" s="62"/>
      <c r="AS39" s="62"/>
      <c r="AT39" s="62"/>
      <c r="AU39" s="62"/>
      <c r="AV39" s="62"/>
      <c r="AW39" s="62"/>
      <c r="AX39" s="62"/>
      <c r="AY39" s="62"/>
      <c r="AZ39" s="62"/>
      <c r="BA39" s="62"/>
      <c r="BB39" s="62"/>
      <c r="BC39" s="62"/>
      <c r="BD39" s="62"/>
      <c r="BE39" s="62"/>
      <c r="BF39" s="62"/>
      <c r="BG39" s="62"/>
      <c r="BH39" s="62"/>
      <c r="BI39" s="62"/>
      <c r="BJ39" s="62"/>
      <c r="BK39" s="62"/>
      <c r="BL39" s="62"/>
      <c r="BM39" s="62"/>
      <c r="BN39" s="62"/>
      <c r="BO39" s="62"/>
      <c r="BP39" s="62"/>
      <c r="BQ39" s="62"/>
      <c r="BR39" s="62"/>
      <c r="BS39" s="62"/>
      <c r="BT39" s="62"/>
      <c r="BU39" s="62"/>
      <c r="BV39" s="62"/>
      <c r="BW39" s="62"/>
      <c r="BX39" s="62"/>
      <c r="BY39" s="62"/>
      <c r="BZ39" s="62"/>
      <c r="CA39" s="62"/>
      <c r="CB39" s="62"/>
      <c r="EU39" s="30"/>
      <c r="EV39" s="30"/>
      <c r="EW39" s="30"/>
    </row>
    <row r="40" spans="1:153" ht="15" customHeight="1" x14ac:dyDescent="0.25">
      <c r="A40" s="52" t="s">
        <v>71</v>
      </c>
      <c r="B40" s="56" t="s">
        <v>40</v>
      </c>
      <c r="C40" s="56" t="s">
        <v>40</v>
      </c>
      <c r="D40" s="56" t="s">
        <v>40</v>
      </c>
      <c r="E40" s="56" t="s">
        <v>40</v>
      </c>
      <c r="F40" s="56"/>
      <c r="G40" s="56" t="s">
        <v>40</v>
      </c>
      <c r="H40" s="56" t="s">
        <v>40</v>
      </c>
      <c r="I40" s="56"/>
      <c r="J40" s="56" t="s">
        <v>40</v>
      </c>
      <c r="K40" s="56" t="s">
        <v>40</v>
      </c>
      <c r="L40" s="56" t="s">
        <v>40</v>
      </c>
      <c r="M40" s="56"/>
      <c r="N40" s="56"/>
      <c r="O40" s="56"/>
      <c r="P40" s="56" t="s">
        <v>40</v>
      </c>
      <c r="Q40" s="56"/>
      <c r="R40" s="56" t="s">
        <v>40</v>
      </c>
      <c r="S40" s="56" t="s">
        <v>40</v>
      </c>
      <c r="T40" s="56" t="s">
        <v>40</v>
      </c>
      <c r="U40" s="56" t="s">
        <v>40</v>
      </c>
      <c r="V40" s="56"/>
      <c r="W40" s="56" t="s">
        <v>40</v>
      </c>
      <c r="X40" s="56"/>
      <c r="Y40" s="56" t="s">
        <v>40</v>
      </c>
      <c r="Z40" s="56"/>
      <c r="AA40" s="56"/>
      <c r="AB40" s="56"/>
      <c r="AC40" s="56" t="s">
        <v>40</v>
      </c>
      <c r="AD40" s="56" t="s">
        <v>40</v>
      </c>
      <c r="AE40" s="56" t="s">
        <v>40</v>
      </c>
      <c r="AF40" s="56" t="s">
        <v>40</v>
      </c>
      <c r="AG40" s="56"/>
      <c r="AH40" s="56" t="s">
        <v>40</v>
      </c>
      <c r="AI40" s="56" t="s">
        <v>40</v>
      </c>
      <c r="AJ40" s="56" t="s">
        <v>40</v>
      </c>
      <c r="AK40" s="56" t="s">
        <v>40</v>
      </c>
      <c r="AL40" s="56"/>
      <c r="AM40" s="56"/>
      <c r="AN40" s="56"/>
      <c r="AO40" s="56"/>
      <c r="AP40" s="56"/>
      <c r="AQ40" s="56"/>
      <c r="AR40" s="56" t="s">
        <v>40</v>
      </c>
      <c r="AS40" s="56"/>
      <c r="AT40" s="56"/>
      <c r="AU40" s="56"/>
      <c r="AV40" s="56"/>
      <c r="AW40" s="56" t="s">
        <v>40</v>
      </c>
      <c r="AX40" s="56"/>
      <c r="AY40" s="56"/>
      <c r="AZ40" s="56"/>
      <c r="BA40" s="56" t="s">
        <v>40</v>
      </c>
      <c r="BB40" s="56"/>
      <c r="BC40" s="56"/>
      <c r="BD40" s="56"/>
      <c r="BE40" s="56" t="s">
        <v>40</v>
      </c>
      <c r="BF40" s="56"/>
      <c r="BG40" s="56"/>
      <c r="BH40" s="56"/>
      <c r="BI40" s="62"/>
      <c r="BJ40" s="62"/>
      <c r="BK40" s="62"/>
      <c r="BL40" s="62"/>
      <c r="BM40" s="62"/>
      <c r="BN40" s="62"/>
      <c r="BO40" s="62"/>
      <c r="BP40" s="62"/>
      <c r="BQ40" s="62"/>
      <c r="BR40" s="62"/>
      <c r="BS40" s="62"/>
      <c r="BT40" s="62"/>
      <c r="BU40" s="62"/>
      <c r="BV40" s="62"/>
      <c r="BW40" s="62"/>
      <c r="BX40" s="62"/>
      <c r="BY40" s="56" t="s">
        <v>40</v>
      </c>
      <c r="BZ40" s="56"/>
      <c r="CA40" s="56"/>
      <c r="CB40" s="56"/>
      <c r="EU40" s="30"/>
      <c r="EV40" s="30"/>
      <c r="EW40" s="30"/>
    </row>
    <row r="41" spans="1:153" ht="15" customHeight="1" x14ac:dyDescent="0.25">
      <c r="A41" s="52" t="s">
        <v>72</v>
      </c>
      <c r="B41" s="56"/>
      <c r="C41" s="56"/>
      <c r="D41" s="56"/>
      <c r="E41" s="56"/>
      <c r="F41" s="56"/>
      <c r="G41" s="56"/>
      <c r="H41" s="56"/>
      <c r="I41" s="56"/>
      <c r="J41" s="56"/>
      <c r="K41" s="56"/>
      <c r="L41" s="56"/>
      <c r="M41" s="56" t="s">
        <v>40</v>
      </c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  <c r="AA41" s="56"/>
      <c r="AB41" s="56"/>
      <c r="AC41" s="56"/>
      <c r="AD41" s="56"/>
      <c r="AE41" s="56"/>
      <c r="AF41" s="56"/>
      <c r="AG41" s="56"/>
      <c r="AH41" s="56"/>
      <c r="AI41" s="56"/>
      <c r="AJ41" s="56"/>
      <c r="AK41" s="56"/>
      <c r="AL41" s="56"/>
      <c r="AM41" s="56"/>
      <c r="AN41" s="56"/>
      <c r="AO41" s="56"/>
      <c r="AP41" s="56"/>
      <c r="AQ41" s="56"/>
      <c r="AR41" s="56"/>
      <c r="AS41" s="56" t="s">
        <v>40</v>
      </c>
      <c r="AT41" s="56"/>
      <c r="AU41" s="56"/>
      <c r="AV41" s="56"/>
      <c r="AW41" s="56"/>
      <c r="AX41" s="56" t="s">
        <v>40</v>
      </c>
      <c r="AY41" s="56"/>
      <c r="AZ41" s="56"/>
      <c r="BA41" s="56"/>
      <c r="BB41" s="56" t="s">
        <v>40</v>
      </c>
      <c r="BC41" s="56"/>
      <c r="BD41" s="56"/>
      <c r="BE41" s="56"/>
      <c r="BF41" s="56" t="s">
        <v>40</v>
      </c>
      <c r="BG41" s="56"/>
      <c r="BH41" s="56"/>
      <c r="BI41" s="62"/>
      <c r="BJ41" s="62"/>
      <c r="BK41" s="62"/>
      <c r="BL41" s="62"/>
      <c r="BM41" s="62"/>
      <c r="BN41" s="62"/>
      <c r="BO41" s="62"/>
      <c r="BP41" s="62"/>
      <c r="BQ41" s="62"/>
      <c r="BR41" s="62"/>
      <c r="BS41" s="62"/>
      <c r="BT41" s="62"/>
      <c r="BU41" s="62"/>
      <c r="BV41" s="62"/>
      <c r="BW41" s="62"/>
      <c r="BX41" s="62"/>
      <c r="BY41" s="56"/>
      <c r="BZ41" s="56" t="s">
        <v>40</v>
      </c>
      <c r="CA41" s="56"/>
      <c r="CB41" s="56"/>
      <c r="EU41" s="30"/>
      <c r="EV41" s="30"/>
      <c r="EW41" s="30"/>
    </row>
    <row r="42" spans="1:153" ht="18" customHeight="1" x14ac:dyDescent="0.25">
      <c r="A42" s="61" t="s">
        <v>73</v>
      </c>
      <c r="B42" s="56"/>
      <c r="C42" s="56"/>
      <c r="D42" s="56"/>
      <c r="E42" s="56"/>
      <c r="F42" s="56"/>
      <c r="G42" s="56"/>
      <c r="H42" s="56"/>
      <c r="I42" s="56" t="s">
        <v>40</v>
      </c>
      <c r="J42" s="56"/>
      <c r="K42" s="56"/>
      <c r="L42" s="56"/>
      <c r="M42" s="56"/>
      <c r="N42" s="56" t="s">
        <v>40</v>
      </c>
      <c r="O42" s="56"/>
      <c r="P42" s="56"/>
      <c r="Q42" s="56"/>
      <c r="R42" s="56"/>
      <c r="S42" s="56"/>
      <c r="T42" s="56"/>
      <c r="U42" s="56"/>
      <c r="V42" s="56" t="s">
        <v>40</v>
      </c>
      <c r="W42" s="56"/>
      <c r="X42" s="56" t="s">
        <v>40</v>
      </c>
      <c r="Y42" s="56"/>
      <c r="Z42" s="56"/>
      <c r="AA42" s="56"/>
      <c r="AB42" s="56"/>
      <c r="AC42" s="56"/>
      <c r="AD42" s="56"/>
      <c r="AE42" s="56"/>
      <c r="AF42" s="56"/>
      <c r="AG42" s="56" t="s">
        <v>40</v>
      </c>
      <c r="AH42" s="56"/>
      <c r="AI42" s="56"/>
      <c r="AJ42" s="56"/>
      <c r="AK42" s="56"/>
      <c r="AL42" s="56" t="s">
        <v>40</v>
      </c>
      <c r="AM42" s="56"/>
      <c r="AN42" s="56"/>
      <c r="AO42" s="56"/>
      <c r="AP42" s="56"/>
      <c r="AQ42" s="56"/>
      <c r="AR42" s="56"/>
      <c r="AS42" s="56"/>
      <c r="AT42" s="56" t="s">
        <v>40</v>
      </c>
      <c r="AU42" s="56"/>
      <c r="AV42" s="56"/>
      <c r="AW42" s="56"/>
      <c r="AX42" s="56"/>
      <c r="AY42" s="56" t="s">
        <v>40</v>
      </c>
      <c r="AZ42" s="56"/>
      <c r="BA42" s="56"/>
      <c r="BB42" s="56"/>
      <c r="BC42" s="56" t="s">
        <v>40</v>
      </c>
      <c r="BD42" s="56"/>
      <c r="BE42" s="56"/>
      <c r="BF42" s="56"/>
      <c r="BG42" s="56"/>
      <c r="BH42" s="56"/>
      <c r="BI42" s="62"/>
      <c r="BJ42" s="62"/>
      <c r="BK42" s="62"/>
      <c r="BL42" s="62"/>
      <c r="BM42" s="62"/>
      <c r="BN42" s="62"/>
      <c r="BO42" s="62"/>
      <c r="BP42" s="62"/>
      <c r="BQ42" s="62"/>
      <c r="BR42" s="62"/>
      <c r="BS42" s="62"/>
      <c r="BT42" s="62"/>
      <c r="BU42" s="62"/>
      <c r="BV42" s="62"/>
      <c r="BW42" s="62"/>
      <c r="BX42" s="62"/>
      <c r="BY42" s="56"/>
      <c r="BZ42" s="56"/>
      <c r="CA42" s="56"/>
      <c r="CB42" s="56"/>
      <c r="EU42" s="30"/>
      <c r="EV42" s="30"/>
      <c r="EW42" s="30"/>
    </row>
    <row r="43" spans="1:153" ht="15" customHeight="1" x14ac:dyDescent="0.25">
      <c r="A43" s="61" t="s">
        <v>74</v>
      </c>
      <c r="B43" s="56"/>
      <c r="C43" s="56"/>
      <c r="D43" s="56"/>
      <c r="E43" s="56"/>
      <c r="F43" s="56"/>
      <c r="G43" s="56"/>
      <c r="H43" s="56"/>
      <c r="I43" s="56"/>
      <c r="J43" s="56"/>
      <c r="K43" s="56"/>
      <c r="L43" s="56"/>
      <c r="M43" s="56"/>
      <c r="N43" s="56"/>
      <c r="O43" s="56" t="s">
        <v>40</v>
      </c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 t="s">
        <v>40</v>
      </c>
      <c r="AA43" s="56"/>
      <c r="AB43" s="56"/>
      <c r="AC43" s="56"/>
      <c r="AD43" s="56"/>
      <c r="AE43" s="56"/>
      <c r="AF43" s="56"/>
      <c r="AG43" s="56"/>
      <c r="AH43" s="56"/>
      <c r="AI43" s="56"/>
      <c r="AJ43" s="56"/>
      <c r="AK43" s="56"/>
      <c r="AL43" s="56"/>
      <c r="AM43" s="56"/>
      <c r="AN43" s="56"/>
      <c r="AO43" s="56"/>
      <c r="AP43" s="56"/>
      <c r="AQ43" s="56"/>
      <c r="AR43" s="56"/>
      <c r="AS43" s="56"/>
      <c r="AT43" s="56"/>
      <c r="AU43" s="56"/>
      <c r="AV43" s="56" t="s">
        <v>40</v>
      </c>
      <c r="AW43" s="56"/>
      <c r="AX43" s="56"/>
      <c r="AY43" s="56"/>
      <c r="AZ43" s="56" t="s">
        <v>40</v>
      </c>
      <c r="BA43" s="56"/>
      <c r="BB43" s="56"/>
      <c r="BC43" s="56"/>
      <c r="BD43" s="56" t="s">
        <v>40</v>
      </c>
      <c r="BE43" s="56"/>
      <c r="BF43" s="56"/>
      <c r="BG43" s="56"/>
      <c r="BH43" s="56" t="s">
        <v>40</v>
      </c>
      <c r="BI43" s="62"/>
      <c r="BJ43" s="62"/>
      <c r="BK43" s="62"/>
      <c r="BL43" s="62"/>
      <c r="BM43" s="62"/>
      <c r="BN43" s="62"/>
      <c r="BO43" s="62"/>
      <c r="BP43" s="62"/>
      <c r="BQ43" s="62"/>
      <c r="BR43" s="62"/>
      <c r="BS43" s="62"/>
      <c r="BT43" s="62"/>
      <c r="BU43" s="62"/>
      <c r="BV43" s="62"/>
      <c r="BW43" s="62"/>
      <c r="BX43" s="62"/>
      <c r="BY43" s="56"/>
      <c r="BZ43" s="56"/>
      <c r="CA43" s="56"/>
      <c r="CB43" s="56" t="s">
        <v>40</v>
      </c>
      <c r="EU43" s="30"/>
      <c r="EV43" s="30"/>
      <c r="EW43" s="30"/>
    </row>
    <row r="44" spans="1:153" ht="15" customHeight="1" x14ac:dyDescent="0.3">
      <c r="A44" s="47" t="s">
        <v>75</v>
      </c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62"/>
      <c r="AN44" s="62"/>
      <c r="AO44" s="62"/>
      <c r="AP44" s="62"/>
      <c r="AQ44" s="62"/>
      <c r="AR44" s="62"/>
      <c r="AS44" s="62"/>
      <c r="AT44" s="62"/>
      <c r="AU44" s="62"/>
      <c r="AV44" s="62"/>
      <c r="AW44" s="62"/>
      <c r="AX44" s="62"/>
      <c r="AY44" s="62"/>
      <c r="AZ44" s="62"/>
      <c r="BA44" s="62"/>
      <c r="BB44" s="62"/>
      <c r="BC44" s="62"/>
      <c r="BD44" s="62"/>
      <c r="BE44" s="62"/>
      <c r="BF44" s="62"/>
      <c r="BG44" s="62"/>
      <c r="BH44" s="62"/>
      <c r="BI44" s="62"/>
      <c r="BJ44" s="62"/>
      <c r="BK44" s="62"/>
      <c r="BL44" s="62"/>
      <c r="BM44" s="62"/>
      <c r="BN44" s="62"/>
      <c r="BO44" s="62"/>
      <c r="BP44" s="62"/>
      <c r="BQ44" s="62"/>
      <c r="BR44" s="62"/>
      <c r="BS44" s="62"/>
      <c r="BT44" s="62"/>
      <c r="BU44" s="62"/>
      <c r="BV44" s="62"/>
      <c r="BW44" s="62"/>
      <c r="BX44" s="62"/>
      <c r="BY44" s="62"/>
      <c r="BZ44" s="62"/>
      <c r="CA44" s="62"/>
      <c r="CB44" s="62"/>
      <c r="EU44" s="30"/>
      <c r="EV44" s="30"/>
      <c r="EW44" s="30"/>
    </row>
    <row r="45" spans="1:153" ht="15" customHeight="1" x14ac:dyDescent="0.25">
      <c r="A45" s="61" t="s">
        <v>76</v>
      </c>
      <c r="B45" s="56" t="s">
        <v>40</v>
      </c>
      <c r="C45" s="56"/>
      <c r="D45" s="56"/>
      <c r="E45" s="56"/>
      <c r="F45" s="56"/>
      <c r="G45" s="56"/>
      <c r="H45" s="56"/>
      <c r="I45" s="56"/>
      <c r="J45" s="56"/>
      <c r="K45" s="56" t="s">
        <v>40</v>
      </c>
      <c r="L45" s="56"/>
      <c r="M45" s="56"/>
      <c r="N45" s="56"/>
      <c r="O45" s="56"/>
      <c r="P45" s="56"/>
      <c r="Q45" s="56"/>
      <c r="R45" s="56" t="s">
        <v>40</v>
      </c>
      <c r="S45" s="56"/>
      <c r="T45" s="56"/>
      <c r="U45" s="56"/>
      <c r="V45" s="56"/>
      <c r="W45" s="56"/>
      <c r="X45" s="56" t="s">
        <v>40</v>
      </c>
      <c r="Y45" s="56"/>
      <c r="Z45" s="56"/>
      <c r="AA45" s="56"/>
      <c r="AB45" s="56"/>
      <c r="AC45" s="56" t="s">
        <v>40</v>
      </c>
      <c r="AD45" s="56"/>
      <c r="AE45" s="56"/>
      <c r="AF45" s="56"/>
      <c r="AG45" s="56"/>
      <c r="AH45" s="56" t="s">
        <v>40</v>
      </c>
      <c r="AI45" s="56"/>
      <c r="AJ45" s="56"/>
      <c r="AK45" s="56"/>
      <c r="AL45" s="56" t="s">
        <v>40</v>
      </c>
      <c r="AM45" s="56"/>
      <c r="AN45" s="56"/>
      <c r="AO45" s="56" t="s">
        <v>40</v>
      </c>
      <c r="AP45" s="56"/>
      <c r="AQ45" s="62"/>
      <c r="AR45" s="62"/>
      <c r="AS45" s="62"/>
      <c r="AT45" s="62"/>
      <c r="AU45" s="62"/>
      <c r="AV45" s="62"/>
      <c r="AW45" s="62"/>
      <c r="AX45" s="62"/>
      <c r="AY45" s="62"/>
      <c r="AZ45" s="62"/>
      <c r="BA45" s="62"/>
      <c r="BB45" s="62"/>
      <c r="BC45" s="62"/>
      <c r="BD45" s="62"/>
      <c r="BE45" s="62"/>
      <c r="BF45" s="62"/>
      <c r="BG45" s="62"/>
      <c r="BH45" s="62"/>
      <c r="BI45" s="62"/>
      <c r="BJ45" s="62"/>
      <c r="BK45" s="62"/>
      <c r="BL45" s="62"/>
      <c r="BM45" s="62"/>
      <c r="BN45" s="62"/>
      <c r="BO45" s="62"/>
      <c r="BP45" s="62"/>
      <c r="BQ45" s="62"/>
      <c r="BR45" s="62"/>
      <c r="BS45" s="62"/>
      <c r="BT45" s="62"/>
      <c r="BU45" s="62"/>
      <c r="BV45" s="62"/>
      <c r="BW45" s="62"/>
      <c r="BX45" s="62"/>
      <c r="BY45" s="62"/>
      <c r="BZ45" s="62"/>
      <c r="CA45" s="62"/>
      <c r="CB45" s="62"/>
      <c r="EU45" s="30"/>
      <c r="EV45" s="30"/>
      <c r="EW45" s="30"/>
    </row>
    <row r="46" spans="1:153" ht="15" customHeight="1" x14ac:dyDescent="0.25">
      <c r="A46" s="61" t="s">
        <v>77</v>
      </c>
      <c r="B46" s="56"/>
      <c r="C46" s="56" t="s">
        <v>40</v>
      </c>
      <c r="D46" s="56" t="s">
        <v>40</v>
      </c>
      <c r="E46" s="56" t="s">
        <v>40</v>
      </c>
      <c r="F46" s="56" t="s">
        <v>40</v>
      </c>
      <c r="G46" s="56"/>
      <c r="H46" s="56"/>
      <c r="I46" s="56"/>
      <c r="J46" s="56" t="s">
        <v>40</v>
      </c>
      <c r="K46" s="56"/>
      <c r="L46" s="56" t="s">
        <v>40</v>
      </c>
      <c r="M46" s="56"/>
      <c r="N46" s="56"/>
      <c r="O46" s="56"/>
      <c r="P46" s="56" t="s">
        <v>40</v>
      </c>
      <c r="Q46" s="56"/>
      <c r="R46" s="56"/>
      <c r="S46" s="56" t="s">
        <v>40</v>
      </c>
      <c r="T46" s="56"/>
      <c r="U46" s="56"/>
      <c r="V46" s="56"/>
      <c r="W46" s="56" t="s">
        <v>40</v>
      </c>
      <c r="X46" s="56"/>
      <c r="Y46" s="56" t="s">
        <v>40</v>
      </c>
      <c r="Z46" s="56"/>
      <c r="AA46" s="56"/>
      <c r="AB46" s="56"/>
      <c r="AC46" s="56"/>
      <c r="AD46" s="56" t="s">
        <v>40</v>
      </c>
      <c r="AE46" s="56"/>
      <c r="AF46" s="56"/>
      <c r="AG46" s="56" t="s">
        <v>40</v>
      </c>
      <c r="AH46" s="56"/>
      <c r="AI46" s="56" t="s">
        <v>40</v>
      </c>
      <c r="AJ46" s="56"/>
      <c r="AK46" s="56"/>
      <c r="AL46" s="56"/>
      <c r="AM46" s="56"/>
      <c r="AN46" s="56" t="s">
        <v>40</v>
      </c>
      <c r="AO46" s="56"/>
      <c r="AP46" s="56"/>
      <c r="AQ46" s="62"/>
      <c r="AR46" s="62"/>
      <c r="AS46" s="62"/>
      <c r="AT46" s="62"/>
      <c r="AU46" s="62"/>
      <c r="AV46" s="62"/>
      <c r="AW46" s="62"/>
      <c r="AX46" s="62"/>
      <c r="AY46" s="62"/>
      <c r="AZ46" s="62"/>
      <c r="BA46" s="62"/>
      <c r="BB46" s="62"/>
      <c r="BC46" s="62"/>
      <c r="BD46" s="62"/>
      <c r="BE46" s="62"/>
      <c r="BF46" s="62"/>
      <c r="BG46" s="62"/>
      <c r="BH46" s="62"/>
      <c r="BI46" s="62"/>
      <c r="BJ46" s="62"/>
      <c r="BK46" s="62"/>
      <c r="BL46" s="62"/>
      <c r="BM46" s="62"/>
      <c r="BN46" s="62"/>
      <c r="BO46" s="62"/>
      <c r="BP46" s="62"/>
      <c r="BQ46" s="62"/>
      <c r="BR46" s="62"/>
      <c r="BS46" s="62"/>
      <c r="BT46" s="62"/>
      <c r="BU46" s="62"/>
      <c r="BV46" s="62"/>
      <c r="BW46" s="62"/>
      <c r="BX46" s="62"/>
      <c r="BY46" s="62"/>
      <c r="BZ46" s="62"/>
      <c r="CA46" s="62"/>
      <c r="CB46" s="62"/>
      <c r="EU46" s="30"/>
      <c r="EV46" s="30"/>
      <c r="EW46" s="30"/>
    </row>
    <row r="47" spans="1:153" ht="15" customHeight="1" x14ac:dyDescent="0.25">
      <c r="A47" s="61" t="s">
        <v>78</v>
      </c>
      <c r="B47" s="56"/>
      <c r="C47" s="56"/>
      <c r="D47" s="56"/>
      <c r="E47" s="56"/>
      <c r="F47" s="56"/>
      <c r="G47" s="56" t="s">
        <v>40</v>
      </c>
      <c r="H47" s="56"/>
      <c r="I47" s="56" t="s">
        <v>40</v>
      </c>
      <c r="J47" s="56"/>
      <c r="K47" s="56"/>
      <c r="L47" s="56"/>
      <c r="M47" s="56" t="s">
        <v>40</v>
      </c>
      <c r="N47" s="56"/>
      <c r="O47" s="56" t="s">
        <v>40</v>
      </c>
      <c r="P47" s="56"/>
      <c r="Q47" s="56"/>
      <c r="R47" s="56"/>
      <c r="S47" s="56"/>
      <c r="T47" s="56" t="s">
        <v>40</v>
      </c>
      <c r="U47" s="56"/>
      <c r="V47" s="56" t="s">
        <v>40</v>
      </c>
      <c r="W47" s="56"/>
      <c r="X47" s="56"/>
      <c r="Y47" s="56"/>
      <c r="Z47" s="56" t="s">
        <v>40</v>
      </c>
      <c r="AA47" s="56"/>
      <c r="AB47" s="56"/>
      <c r="AC47" s="56"/>
      <c r="AD47" s="56"/>
      <c r="AE47" s="56" t="s">
        <v>40</v>
      </c>
      <c r="AF47" s="56"/>
      <c r="AG47" s="56"/>
      <c r="AH47" s="56"/>
      <c r="AI47" s="56"/>
      <c r="AJ47" s="56" t="s">
        <v>40</v>
      </c>
      <c r="AK47" s="56"/>
      <c r="AL47" s="56"/>
      <c r="AM47" s="56" t="s">
        <v>40</v>
      </c>
      <c r="AN47" s="56"/>
      <c r="AO47" s="56"/>
      <c r="AP47" s="56"/>
      <c r="AQ47" s="62"/>
      <c r="AR47" s="62"/>
      <c r="AS47" s="62"/>
      <c r="AT47" s="62"/>
      <c r="AU47" s="62"/>
      <c r="AV47" s="62"/>
      <c r="AW47" s="62"/>
      <c r="AX47" s="62"/>
      <c r="AY47" s="62"/>
      <c r="AZ47" s="62"/>
      <c r="BA47" s="62"/>
      <c r="BB47" s="62"/>
      <c r="BC47" s="62"/>
      <c r="BD47" s="62"/>
      <c r="BE47" s="62"/>
      <c r="BF47" s="62"/>
      <c r="BG47" s="62"/>
      <c r="BH47" s="62"/>
      <c r="BI47" s="62"/>
      <c r="BJ47" s="62"/>
      <c r="BK47" s="62"/>
      <c r="BL47" s="62"/>
      <c r="BM47" s="62"/>
      <c r="BN47" s="62"/>
      <c r="BO47" s="62"/>
      <c r="BP47" s="62"/>
      <c r="BQ47" s="62"/>
      <c r="BR47" s="62"/>
      <c r="BS47" s="62"/>
      <c r="BT47" s="62"/>
      <c r="BU47" s="62"/>
      <c r="BV47" s="62"/>
      <c r="BW47" s="62"/>
      <c r="BX47" s="62"/>
      <c r="BY47" s="62"/>
      <c r="BZ47" s="62"/>
      <c r="CA47" s="62"/>
      <c r="CB47" s="62"/>
      <c r="EU47" s="30"/>
      <c r="EV47" s="30"/>
      <c r="EW47" s="30"/>
    </row>
    <row r="48" spans="1:153" ht="15" customHeight="1" x14ac:dyDescent="0.25">
      <c r="A48" s="61" t="s">
        <v>79</v>
      </c>
      <c r="B48" s="56"/>
      <c r="C48" s="56"/>
      <c r="D48" s="56"/>
      <c r="E48" s="56"/>
      <c r="F48" s="56"/>
      <c r="G48" s="56"/>
      <c r="H48" s="56" t="s">
        <v>40</v>
      </c>
      <c r="I48" s="56"/>
      <c r="J48" s="56"/>
      <c r="K48" s="56"/>
      <c r="L48" s="56"/>
      <c r="M48" s="56"/>
      <c r="N48" s="56" t="s">
        <v>40</v>
      </c>
      <c r="O48" s="56"/>
      <c r="P48" s="56"/>
      <c r="Q48" s="56"/>
      <c r="R48" s="56"/>
      <c r="S48" s="56"/>
      <c r="T48" s="56"/>
      <c r="U48" s="56" t="s">
        <v>40</v>
      </c>
      <c r="V48" s="56"/>
      <c r="W48" s="56"/>
      <c r="X48" s="56"/>
      <c r="Y48" s="56"/>
      <c r="Z48" s="56"/>
      <c r="AA48" s="56"/>
      <c r="AB48" s="56"/>
      <c r="AC48" s="56"/>
      <c r="AD48" s="56"/>
      <c r="AE48" s="56"/>
      <c r="AF48" s="56" t="s">
        <v>40</v>
      </c>
      <c r="AG48" s="56"/>
      <c r="AH48" s="56"/>
      <c r="AI48" s="56"/>
      <c r="AJ48" s="56"/>
      <c r="AK48" s="56" t="s">
        <v>40</v>
      </c>
      <c r="AL48" s="56"/>
      <c r="AM48" s="56"/>
      <c r="AN48" s="56"/>
      <c r="AO48" s="56"/>
      <c r="AP48" s="56"/>
      <c r="AQ48" s="62"/>
      <c r="AR48" s="62"/>
      <c r="AS48" s="62"/>
      <c r="AT48" s="62"/>
      <c r="AU48" s="62"/>
      <c r="AV48" s="62"/>
      <c r="AW48" s="62"/>
      <c r="AX48" s="62"/>
      <c r="AY48" s="62"/>
      <c r="AZ48" s="62"/>
      <c r="BA48" s="62"/>
      <c r="BB48" s="62"/>
      <c r="BC48" s="62"/>
      <c r="BD48" s="62"/>
      <c r="BE48" s="62"/>
      <c r="BF48" s="62"/>
      <c r="BG48" s="62"/>
      <c r="BH48" s="62"/>
      <c r="BI48" s="62"/>
      <c r="BJ48" s="62"/>
      <c r="BK48" s="62"/>
      <c r="BL48" s="62"/>
      <c r="BM48" s="62"/>
      <c r="BN48" s="62"/>
      <c r="BO48" s="62"/>
      <c r="BP48" s="62"/>
      <c r="BQ48" s="62"/>
      <c r="BR48" s="62"/>
      <c r="BS48" s="62"/>
      <c r="BT48" s="62"/>
      <c r="BU48" s="62"/>
      <c r="BV48" s="62"/>
      <c r="BW48" s="62"/>
      <c r="BX48" s="62"/>
      <c r="BY48" s="62"/>
      <c r="BZ48" s="62"/>
      <c r="CA48" s="62"/>
      <c r="CB48" s="62"/>
      <c r="EU48" s="30"/>
      <c r="EV48" s="30"/>
      <c r="EW48" s="30"/>
    </row>
    <row r="49" spans="1:153" ht="15" customHeight="1" x14ac:dyDescent="0.3">
      <c r="A49" s="47" t="s">
        <v>80</v>
      </c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62"/>
      <c r="AM49" s="62"/>
      <c r="AN49" s="62"/>
      <c r="AO49" s="62"/>
      <c r="AP49" s="62"/>
      <c r="AQ49" s="62"/>
      <c r="AR49" s="62"/>
      <c r="AS49" s="62"/>
      <c r="AT49" s="62"/>
      <c r="AU49" s="62"/>
      <c r="AV49" s="62"/>
      <c r="AW49" s="62"/>
      <c r="AX49" s="62"/>
      <c r="AY49" s="62"/>
      <c r="AZ49" s="62"/>
      <c r="BA49" s="62"/>
      <c r="BB49" s="62"/>
      <c r="BC49" s="62"/>
      <c r="BD49" s="62"/>
      <c r="BE49" s="62"/>
      <c r="BF49" s="62"/>
      <c r="BG49" s="62"/>
      <c r="BH49" s="62"/>
      <c r="BI49" s="62"/>
      <c r="BJ49" s="62"/>
      <c r="BK49" s="62"/>
      <c r="BL49" s="62"/>
      <c r="BM49" s="62"/>
      <c r="BN49" s="62"/>
      <c r="BO49" s="62"/>
      <c r="BP49" s="62"/>
      <c r="BQ49" s="62"/>
      <c r="BR49" s="62"/>
      <c r="BS49" s="62"/>
      <c r="BT49" s="62"/>
      <c r="BU49" s="62"/>
      <c r="BV49" s="62"/>
      <c r="BW49" s="62"/>
      <c r="BX49" s="62"/>
      <c r="BY49" s="62"/>
      <c r="BZ49" s="62"/>
      <c r="CA49" s="62"/>
      <c r="CB49" s="62"/>
      <c r="EU49" s="30"/>
      <c r="EV49" s="30"/>
      <c r="EW49" s="30"/>
    </row>
    <row r="50" spans="1:153" ht="15" customHeight="1" x14ac:dyDescent="0.25">
      <c r="A50" s="52" t="s">
        <v>81</v>
      </c>
      <c r="B50" s="56" t="s">
        <v>40</v>
      </c>
      <c r="C50" s="56" t="s">
        <v>40</v>
      </c>
      <c r="D50" s="56" t="s">
        <v>40</v>
      </c>
      <c r="E50" s="56" t="s">
        <v>40</v>
      </c>
      <c r="F50" s="56"/>
      <c r="G50" s="56" t="s">
        <v>40</v>
      </c>
      <c r="H50" s="56" t="s">
        <v>40</v>
      </c>
      <c r="I50" s="56" t="s">
        <v>40</v>
      </c>
      <c r="J50" s="56" t="s">
        <v>40</v>
      </c>
      <c r="K50" s="56" t="s">
        <v>40</v>
      </c>
      <c r="L50" s="56" t="s">
        <v>40</v>
      </c>
      <c r="M50" s="56"/>
      <c r="N50" s="56"/>
      <c r="O50" s="56"/>
      <c r="P50" s="56"/>
      <c r="Q50" s="56"/>
      <c r="R50" s="56" t="s">
        <v>40</v>
      </c>
      <c r="S50" s="56" t="s">
        <v>40</v>
      </c>
      <c r="T50" s="56" t="s">
        <v>40</v>
      </c>
      <c r="U50" s="56" t="s">
        <v>40</v>
      </c>
      <c r="V50" s="56" t="s">
        <v>40</v>
      </c>
      <c r="W50" s="56"/>
      <c r="X50" s="56"/>
      <c r="Y50" s="56"/>
      <c r="Z50" s="56"/>
      <c r="AA50" s="56"/>
      <c r="AB50" s="56"/>
      <c r="AC50" s="56" t="s">
        <v>40</v>
      </c>
      <c r="AD50" s="56" t="s">
        <v>40</v>
      </c>
      <c r="AE50" s="56" t="s">
        <v>40</v>
      </c>
      <c r="AF50" s="56" t="s">
        <v>40</v>
      </c>
      <c r="AG50" s="56" t="s">
        <v>40</v>
      </c>
      <c r="AH50" s="56" t="s">
        <v>40</v>
      </c>
      <c r="AI50" s="56" t="s">
        <v>40</v>
      </c>
      <c r="AJ50" s="56" t="s">
        <v>40</v>
      </c>
      <c r="AK50" s="56" t="s">
        <v>40</v>
      </c>
      <c r="AL50" s="56" t="s">
        <v>40</v>
      </c>
      <c r="AM50" s="56"/>
      <c r="AN50" s="56"/>
      <c r="AO50" s="56"/>
      <c r="AP50" s="56"/>
      <c r="AQ50" s="56"/>
      <c r="AR50" s="56" t="s">
        <v>40</v>
      </c>
      <c r="AS50" s="56"/>
      <c r="AT50" s="56" t="s">
        <v>40</v>
      </c>
      <c r="AU50" s="56"/>
      <c r="AV50" s="56"/>
      <c r="AW50" s="56" t="s">
        <v>40</v>
      </c>
      <c r="AX50" s="56"/>
      <c r="AY50" s="62"/>
      <c r="AZ50" s="56"/>
      <c r="BA50" s="56" t="s">
        <v>40</v>
      </c>
      <c r="BB50" s="56"/>
      <c r="BC50" s="62"/>
      <c r="BD50" s="56"/>
      <c r="BE50" s="56" t="s">
        <v>40</v>
      </c>
      <c r="BF50" s="56" t="s">
        <v>40</v>
      </c>
      <c r="BG50" s="56"/>
      <c r="BH50" s="56"/>
      <c r="BI50" s="62"/>
      <c r="BJ50" s="62"/>
      <c r="BK50" s="62"/>
      <c r="BL50" s="62"/>
      <c r="BM50" s="62"/>
      <c r="BN50" s="62"/>
      <c r="BO50" s="62"/>
      <c r="BP50" s="62"/>
      <c r="BQ50" s="62"/>
      <c r="BR50" s="62"/>
      <c r="BS50" s="62"/>
      <c r="BT50" s="62"/>
      <c r="BU50" s="62"/>
      <c r="BV50" s="62"/>
      <c r="BW50" s="62"/>
      <c r="BX50" s="62"/>
      <c r="BY50" s="62"/>
      <c r="BZ50" s="62"/>
      <c r="CA50" s="62"/>
      <c r="CB50" s="62"/>
      <c r="EU50" s="30"/>
      <c r="EV50" s="30"/>
      <c r="EW50" s="30"/>
    </row>
    <row r="51" spans="1:153" ht="15" customHeight="1" x14ac:dyDescent="0.25">
      <c r="A51" s="52" t="s">
        <v>82</v>
      </c>
      <c r="B51" s="56"/>
      <c r="C51" s="56"/>
      <c r="D51" s="56"/>
      <c r="E51" s="56"/>
      <c r="F51" s="56"/>
      <c r="G51" s="56"/>
      <c r="H51" s="56"/>
      <c r="I51" s="56"/>
      <c r="J51" s="56"/>
      <c r="K51" s="56"/>
      <c r="L51" s="56"/>
      <c r="M51" s="56" t="s">
        <v>40</v>
      </c>
      <c r="N51" s="56"/>
      <c r="O51" s="56"/>
      <c r="P51" s="56"/>
      <c r="Q51" s="56"/>
      <c r="R51" s="56"/>
      <c r="S51" s="56"/>
      <c r="T51" s="56"/>
      <c r="U51" s="56"/>
      <c r="V51" s="56"/>
      <c r="W51" s="56" t="s">
        <v>40</v>
      </c>
      <c r="X51" s="56"/>
      <c r="Y51" s="56"/>
      <c r="Z51" s="56"/>
      <c r="AA51" s="56"/>
      <c r="AB51" s="56"/>
      <c r="AC51" s="56"/>
      <c r="AD51" s="56"/>
      <c r="AE51" s="56"/>
      <c r="AF51" s="56"/>
      <c r="AG51" s="56"/>
      <c r="AH51" s="56"/>
      <c r="AI51" s="56"/>
      <c r="AJ51" s="56"/>
      <c r="AK51" s="56"/>
      <c r="AL51" s="56"/>
      <c r="AM51" s="56" t="s">
        <v>40</v>
      </c>
      <c r="AN51" s="56"/>
      <c r="AO51" s="56"/>
      <c r="AP51" s="56"/>
      <c r="AQ51" s="56"/>
      <c r="AR51" s="56"/>
      <c r="AS51" s="56" t="s">
        <v>40</v>
      </c>
      <c r="AT51" s="56"/>
      <c r="AU51" s="56"/>
      <c r="AV51" s="56"/>
      <c r="AW51" s="56"/>
      <c r="AX51" s="56" t="s">
        <v>40</v>
      </c>
      <c r="AY51" s="62"/>
      <c r="AZ51" s="56"/>
      <c r="BA51" s="56"/>
      <c r="BB51" s="56" t="s">
        <v>40</v>
      </c>
      <c r="BC51" s="62"/>
      <c r="BD51" s="56"/>
      <c r="BE51" s="56"/>
      <c r="BF51" s="56"/>
      <c r="BG51" s="56"/>
      <c r="BH51" s="56"/>
      <c r="BI51" s="62"/>
      <c r="BJ51" s="62"/>
      <c r="BK51" s="62"/>
      <c r="BL51" s="62"/>
      <c r="BM51" s="62"/>
      <c r="BN51" s="62"/>
      <c r="BO51" s="62"/>
      <c r="BP51" s="62"/>
      <c r="BQ51" s="62"/>
      <c r="BR51" s="62"/>
      <c r="BS51" s="62"/>
      <c r="BT51" s="62"/>
      <c r="BU51" s="62"/>
      <c r="BV51" s="62"/>
      <c r="BW51" s="62"/>
      <c r="BX51" s="62"/>
      <c r="BY51" s="56" t="s">
        <v>40</v>
      </c>
      <c r="BZ51" s="56" t="s">
        <v>40</v>
      </c>
      <c r="CA51" s="56"/>
      <c r="CB51" s="56"/>
      <c r="EU51" s="30"/>
      <c r="EV51" s="30"/>
      <c r="EW51" s="30"/>
    </row>
    <row r="52" spans="1:153" ht="15" customHeight="1" x14ac:dyDescent="0.25">
      <c r="A52" s="61" t="s">
        <v>83</v>
      </c>
      <c r="B52" s="56"/>
      <c r="C52" s="56"/>
      <c r="D52" s="56"/>
      <c r="E52" s="56"/>
      <c r="F52" s="56"/>
      <c r="G52" s="56"/>
      <c r="H52" s="56"/>
      <c r="I52" s="56"/>
      <c r="J52" s="56"/>
      <c r="K52" s="56"/>
      <c r="L52" s="56"/>
      <c r="M52" s="56"/>
      <c r="N52" s="56" t="s">
        <v>40</v>
      </c>
      <c r="O52" s="56"/>
      <c r="P52" s="56"/>
      <c r="Q52" s="56"/>
      <c r="R52" s="56"/>
      <c r="S52" s="56"/>
      <c r="T52" s="56"/>
      <c r="U52" s="56"/>
      <c r="V52" s="56"/>
      <c r="W52" s="56"/>
      <c r="X52" s="56" t="s">
        <v>40</v>
      </c>
      <c r="Y52" s="56"/>
      <c r="Z52" s="56"/>
      <c r="AA52" s="56"/>
      <c r="AB52" s="56"/>
      <c r="AC52" s="56"/>
      <c r="AD52" s="56"/>
      <c r="AE52" s="56"/>
      <c r="AF52" s="56"/>
      <c r="AG52" s="56"/>
      <c r="AH52" s="56"/>
      <c r="AI52" s="56"/>
      <c r="AJ52" s="56"/>
      <c r="AK52" s="56"/>
      <c r="AL52" s="56"/>
      <c r="AM52" s="56"/>
      <c r="AN52" s="56" t="s">
        <v>40</v>
      </c>
      <c r="AO52" s="56"/>
      <c r="AP52" s="56"/>
      <c r="AQ52" s="56"/>
      <c r="AR52" s="56"/>
      <c r="AS52" s="56"/>
      <c r="AT52" s="56"/>
      <c r="AU52" s="56" t="s">
        <v>40</v>
      </c>
      <c r="AV52" s="56"/>
      <c r="AW52" s="56"/>
      <c r="AX52" s="56"/>
      <c r="AY52" s="62"/>
      <c r="AZ52" s="56"/>
      <c r="BA52" s="56"/>
      <c r="BB52" s="56"/>
      <c r="BC52" s="62"/>
      <c r="BD52" s="56"/>
      <c r="BE52" s="56"/>
      <c r="BF52" s="56"/>
      <c r="BG52" s="56" t="s">
        <v>40</v>
      </c>
      <c r="BH52" s="56"/>
      <c r="BI52" s="62"/>
      <c r="BJ52" s="62"/>
      <c r="BK52" s="62"/>
      <c r="BL52" s="62"/>
      <c r="BM52" s="62"/>
      <c r="BN52" s="62"/>
      <c r="BO52" s="62"/>
      <c r="BP52" s="62"/>
      <c r="BQ52" s="62"/>
      <c r="BR52" s="62"/>
      <c r="BS52" s="62"/>
      <c r="BT52" s="62"/>
      <c r="BU52" s="62"/>
      <c r="BV52" s="62"/>
      <c r="BW52" s="62"/>
      <c r="BX52" s="62"/>
      <c r="BY52" s="56"/>
      <c r="BZ52" s="56"/>
      <c r="CA52" s="56"/>
      <c r="CB52" s="56"/>
      <c r="EU52" s="30"/>
      <c r="EV52" s="30"/>
      <c r="EW52" s="30"/>
    </row>
    <row r="53" spans="1:153" ht="15" customHeight="1" x14ac:dyDescent="0.25">
      <c r="A53" s="61" t="s">
        <v>58</v>
      </c>
      <c r="B53" s="56"/>
      <c r="C53" s="56"/>
      <c r="D53" s="56"/>
      <c r="E53" s="56"/>
      <c r="F53" s="56"/>
      <c r="G53" s="56"/>
      <c r="H53" s="56"/>
      <c r="I53" s="56"/>
      <c r="J53" s="56"/>
      <c r="K53" s="56"/>
      <c r="L53" s="56"/>
      <c r="M53" s="56"/>
      <c r="N53" s="56"/>
      <c r="O53" s="56" t="s">
        <v>40</v>
      </c>
      <c r="P53" s="56"/>
      <c r="Q53" s="56"/>
      <c r="R53" s="56"/>
      <c r="S53" s="56"/>
      <c r="T53" s="56"/>
      <c r="U53" s="56"/>
      <c r="V53" s="56"/>
      <c r="W53" s="56"/>
      <c r="X53" s="56"/>
      <c r="Y53" s="56" t="s">
        <v>40</v>
      </c>
      <c r="Z53" s="56" t="s">
        <v>40</v>
      </c>
      <c r="AA53" s="56"/>
      <c r="AB53" s="56"/>
      <c r="AC53" s="56"/>
      <c r="AD53" s="56"/>
      <c r="AE53" s="56"/>
      <c r="AF53" s="56"/>
      <c r="AG53" s="56"/>
      <c r="AH53" s="56"/>
      <c r="AI53" s="56"/>
      <c r="AJ53" s="56"/>
      <c r="AK53" s="56"/>
      <c r="AL53" s="56"/>
      <c r="AM53" s="56"/>
      <c r="AN53" s="56"/>
      <c r="AO53" s="56" t="s">
        <v>40</v>
      </c>
      <c r="AP53" s="56"/>
      <c r="AQ53" s="56"/>
      <c r="AR53" s="56"/>
      <c r="AS53" s="56"/>
      <c r="AT53" s="56"/>
      <c r="AU53" s="56"/>
      <c r="AV53" s="56" t="s">
        <v>40</v>
      </c>
      <c r="AW53" s="56"/>
      <c r="AX53" s="56"/>
      <c r="AY53" s="62"/>
      <c r="AZ53" s="56" t="s">
        <v>40</v>
      </c>
      <c r="BA53" s="56"/>
      <c r="BB53" s="56"/>
      <c r="BC53" s="62"/>
      <c r="BD53" s="56" t="s">
        <v>40</v>
      </c>
      <c r="BE53" s="56"/>
      <c r="BF53" s="56"/>
      <c r="BG53" s="56"/>
      <c r="BH53" s="56" t="s">
        <v>40</v>
      </c>
      <c r="BI53" s="62"/>
      <c r="BJ53" s="62"/>
      <c r="BK53" s="62"/>
      <c r="BL53" s="62"/>
      <c r="BM53" s="62"/>
      <c r="BN53" s="62"/>
      <c r="BO53" s="62"/>
      <c r="BP53" s="62"/>
      <c r="BQ53" s="62"/>
      <c r="BR53" s="62"/>
      <c r="BS53" s="62"/>
      <c r="BT53" s="62"/>
      <c r="BU53" s="62"/>
      <c r="BV53" s="62"/>
      <c r="BW53" s="62"/>
      <c r="BX53" s="62"/>
      <c r="BY53" s="56"/>
      <c r="BZ53" s="56"/>
      <c r="CA53" s="56"/>
      <c r="CB53" s="56" t="s">
        <v>40</v>
      </c>
      <c r="EU53" s="30"/>
      <c r="EV53" s="30"/>
      <c r="EW53" s="30"/>
    </row>
    <row r="54" spans="1:153" ht="15" customHeight="1" x14ac:dyDescent="0.3">
      <c r="A54" s="47" t="s">
        <v>84</v>
      </c>
      <c r="B54" s="62"/>
      <c r="C54" s="62"/>
      <c r="D54" s="62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62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62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62"/>
      <c r="BW54" s="62"/>
      <c r="BX54" s="62"/>
      <c r="BY54" s="62"/>
      <c r="BZ54" s="62"/>
      <c r="CA54" s="62"/>
      <c r="CB54" s="62"/>
      <c r="EU54" s="30"/>
      <c r="EV54" s="30"/>
      <c r="EW54" s="30"/>
    </row>
    <row r="55" spans="1:153" ht="15" customHeight="1" x14ac:dyDescent="0.25">
      <c r="A55" s="52" t="s">
        <v>85</v>
      </c>
      <c r="B55" s="62"/>
      <c r="C55" s="62"/>
      <c r="D55" s="62"/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2"/>
      <c r="AN55" s="62"/>
      <c r="AO55" s="62"/>
      <c r="AP55" s="62"/>
      <c r="AQ55" s="62"/>
      <c r="AR55" s="62"/>
      <c r="AS55" s="62"/>
      <c r="AT55" s="62"/>
      <c r="AU55" s="62"/>
      <c r="AV55" s="62"/>
      <c r="AW55" s="62"/>
      <c r="AX55" s="62"/>
      <c r="AY55" s="62"/>
      <c r="AZ55" s="62"/>
      <c r="BA55" s="62"/>
      <c r="BB55" s="62"/>
      <c r="BC55" s="62"/>
      <c r="BD55" s="62"/>
      <c r="BE55" s="62"/>
      <c r="BF55" s="62"/>
      <c r="BG55" s="62"/>
      <c r="BH55" s="62"/>
      <c r="BI55" s="62"/>
      <c r="BJ55" s="62"/>
      <c r="BK55" s="62"/>
      <c r="BL55" s="62"/>
      <c r="BM55" s="62"/>
      <c r="BN55" s="62"/>
      <c r="BO55" s="62"/>
      <c r="BP55" s="62"/>
      <c r="BQ55" s="62"/>
      <c r="BR55" s="62"/>
      <c r="BS55" s="62"/>
      <c r="BT55" s="62"/>
      <c r="BU55" s="62"/>
      <c r="BV55" s="62"/>
      <c r="BW55" s="62"/>
      <c r="BX55" s="62"/>
      <c r="BY55" s="62"/>
      <c r="BZ55" s="62"/>
      <c r="CA55" s="62"/>
      <c r="CB55" s="62"/>
      <c r="EU55" s="30"/>
      <c r="EV55" s="30"/>
      <c r="EW55" s="30"/>
    </row>
    <row r="56" spans="1:153" ht="15" customHeight="1" x14ac:dyDescent="0.25">
      <c r="A56" s="52" t="s">
        <v>86</v>
      </c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2"/>
      <c r="AN56" s="62"/>
      <c r="AO56" s="62"/>
      <c r="AP56" s="62"/>
      <c r="AQ56" s="62"/>
      <c r="AR56" s="62"/>
      <c r="AS56" s="62"/>
      <c r="AT56" s="62"/>
      <c r="AU56" s="62"/>
      <c r="AV56" s="62"/>
      <c r="AW56" s="62"/>
      <c r="AX56" s="62"/>
      <c r="AY56" s="62"/>
      <c r="AZ56" s="62"/>
      <c r="BA56" s="62"/>
      <c r="BB56" s="62"/>
      <c r="BC56" s="62"/>
      <c r="BD56" s="62"/>
      <c r="BE56" s="62"/>
      <c r="BF56" s="62"/>
      <c r="BG56" s="62"/>
      <c r="BH56" s="62"/>
      <c r="BI56" s="62"/>
      <c r="BJ56" s="62"/>
      <c r="BK56" s="62"/>
      <c r="BL56" s="62"/>
      <c r="BM56" s="62"/>
      <c r="BN56" s="62"/>
      <c r="BO56" s="62"/>
      <c r="BP56" s="62"/>
      <c r="BQ56" s="62"/>
      <c r="BR56" s="62"/>
      <c r="BS56" s="62"/>
      <c r="BT56" s="62"/>
      <c r="BU56" s="62"/>
      <c r="BV56" s="62"/>
      <c r="BW56" s="62"/>
      <c r="BX56" s="62"/>
      <c r="BY56" s="62"/>
      <c r="BZ56" s="62"/>
      <c r="CA56" s="62"/>
      <c r="CB56" s="62"/>
      <c r="EU56" s="30"/>
      <c r="EV56" s="30"/>
      <c r="EW56" s="30"/>
    </row>
    <row r="57" spans="1:153" ht="15" customHeight="1" x14ac:dyDescent="0.3">
      <c r="A57" s="47" t="s">
        <v>87</v>
      </c>
      <c r="B57" s="62"/>
      <c r="C57" s="62"/>
      <c r="D57" s="62"/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2"/>
      <c r="AN57" s="62"/>
      <c r="AO57" s="62"/>
      <c r="AP57" s="62"/>
      <c r="AQ57" s="62"/>
      <c r="AR57" s="62"/>
      <c r="AS57" s="62"/>
      <c r="AT57" s="62"/>
      <c r="AU57" s="62"/>
      <c r="AV57" s="62"/>
      <c r="AW57" s="62"/>
      <c r="AX57" s="62"/>
      <c r="AY57" s="62"/>
      <c r="AZ57" s="62"/>
      <c r="BA57" s="62"/>
      <c r="BB57" s="62"/>
      <c r="BC57" s="62"/>
      <c r="BD57" s="62"/>
      <c r="BE57" s="62"/>
      <c r="BF57" s="62"/>
      <c r="BG57" s="62"/>
      <c r="BH57" s="62"/>
      <c r="BI57" s="62"/>
      <c r="BJ57" s="62"/>
      <c r="BK57" s="62"/>
      <c r="BL57" s="62"/>
      <c r="BM57" s="62"/>
      <c r="BN57" s="62"/>
      <c r="BO57" s="62"/>
      <c r="BP57" s="62"/>
      <c r="BQ57" s="62"/>
      <c r="BR57" s="62"/>
      <c r="BS57" s="62"/>
      <c r="BT57" s="62"/>
      <c r="BU57" s="62"/>
      <c r="BV57" s="62"/>
      <c r="BW57" s="62"/>
      <c r="BX57" s="62"/>
      <c r="BY57" s="62"/>
      <c r="BZ57" s="62"/>
      <c r="CA57" s="62"/>
      <c r="CB57" s="62"/>
      <c r="EU57" s="30"/>
      <c r="EV57" s="30"/>
      <c r="EW57" s="30"/>
    </row>
    <row r="58" spans="1:153" ht="15" customHeight="1" x14ac:dyDescent="0.25">
      <c r="A58" s="52" t="s">
        <v>88</v>
      </c>
      <c r="B58" s="56" t="s">
        <v>40</v>
      </c>
      <c r="C58" s="56"/>
      <c r="D58" s="56"/>
      <c r="E58" s="56"/>
      <c r="F58" s="56" t="s">
        <v>40</v>
      </c>
      <c r="G58" s="56" t="s">
        <v>40</v>
      </c>
      <c r="H58" s="56"/>
      <c r="I58" s="56" t="s">
        <v>40</v>
      </c>
      <c r="J58" s="56"/>
      <c r="K58" s="56" t="s">
        <v>40</v>
      </c>
      <c r="L58" s="56"/>
      <c r="M58" s="56"/>
      <c r="N58" s="56"/>
      <c r="O58" s="56"/>
      <c r="P58" s="56" t="s">
        <v>40</v>
      </c>
      <c r="Q58" s="56"/>
      <c r="R58" s="56" t="s">
        <v>40</v>
      </c>
      <c r="S58" s="56"/>
      <c r="T58" s="56" t="s">
        <v>40</v>
      </c>
      <c r="U58" s="56"/>
      <c r="V58" s="56" t="s">
        <v>40</v>
      </c>
      <c r="W58" s="56"/>
      <c r="X58" s="56"/>
      <c r="Y58" s="56"/>
      <c r="Z58" s="56"/>
      <c r="AA58" s="56"/>
      <c r="AB58" s="56"/>
      <c r="AC58" s="56" t="s">
        <v>40</v>
      </c>
      <c r="AD58" s="56"/>
      <c r="AE58" s="56" t="s">
        <v>40</v>
      </c>
      <c r="AF58" s="56"/>
      <c r="AG58" s="56"/>
      <c r="AH58" s="56" t="s">
        <v>40</v>
      </c>
      <c r="AI58" s="56"/>
      <c r="AJ58" s="56" t="s">
        <v>40</v>
      </c>
      <c r="AK58" s="56"/>
      <c r="AL58" s="56" t="s">
        <v>40</v>
      </c>
      <c r="AM58" s="56" t="s">
        <v>40</v>
      </c>
      <c r="AN58" s="56"/>
      <c r="AO58" s="56" t="s">
        <v>40</v>
      </c>
      <c r="AP58" s="62"/>
      <c r="AQ58" s="62"/>
      <c r="AR58" s="62"/>
      <c r="AS58" s="62"/>
      <c r="AT58" s="62"/>
      <c r="AU58" s="62"/>
      <c r="AV58" s="62"/>
      <c r="AW58" s="62"/>
      <c r="AX58" s="62"/>
      <c r="AY58" s="62"/>
      <c r="AZ58" s="62"/>
      <c r="BA58" s="62"/>
      <c r="BB58" s="62"/>
      <c r="BC58" s="62"/>
      <c r="BD58" s="62"/>
      <c r="BE58" s="62"/>
      <c r="BF58" s="62"/>
      <c r="BG58" s="62"/>
      <c r="BH58" s="62"/>
      <c r="BI58" s="62"/>
      <c r="BJ58" s="62"/>
      <c r="BK58" s="62"/>
      <c r="BL58" s="62"/>
      <c r="BM58" s="62"/>
      <c r="BN58" s="62"/>
      <c r="BO58" s="62"/>
      <c r="BP58" s="62"/>
      <c r="BQ58" s="62"/>
      <c r="BR58" s="62"/>
      <c r="BS58" s="62"/>
      <c r="BT58" s="62"/>
      <c r="BU58" s="62"/>
      <c r="BV58" s="62"/>
      <c r="BW58" s="62"/>
      <c r="BX58" s="62"/>
      <c r="BY58" s="62"/>
      <c r="BZ58" s="62"/>
      <c r="CA58" s="62"/>
      <c r="CB58" s="62"/>
      <c r="EU58" s="30"/>
      <c r="EV58" s="30"/>
      <c r="EW58" s="30"/>
    </row>
    <row r="59" spans="1:153" ht="15" customHeight="1" x14ac:dyDescent="0.25">
      <c r="A59" s="52" t="s">
        <v>89</v>
      </c>
      <c r="B59" s="56"/>
      <c r="C59" s="56" t="s">
        <v>40</v>
      </c>
      <c r="D59" s="56" t="s">
        <v>40</v>
      </c>
      <c r="E59" s="56" t="s">
        <v>40</v>
      </c>
      <c r="F59" s="56"/>
      <c r="G59" s="56"/>
      <c r="H59" s="56" t="s">
        <v>40</v>
      </c>
      <c r="I59" s="56"/>
      <c r="J59" s="56" t="s">
        <v>40</v>
      </c>
      <c r="K59" s="56"/>
      <c r="L59" s="56" t="s">
        <v>40</v>
      </c>
      <c r="M59" s="56"/>
      <c r="N59" s="56"/>
      <c r="O59" s="56"/>
      <c r="P59" s="56"/>
      <c r="Q59" s="56"/>
      <c r="R59" s="56"/>
      <c r="S59" s="56" t="s">
        <v>40</v>
      </c>
      <c r="T59" s="56"/>
      <c r="U59" s="56" t="s">
        <v>40</v>
      </c>
      <c r="V59" s="56"/>
      <c r="W59" s="56"/>
      <c r="X59" s="56"/>
      <c r="Y59" s="56"/>
      <c r="Z59" s="56"/>
      <c r="AA59" s="56"/>
      <c r="AB59" s="56"/>
      <c r="AC59" s="56"/>
      <c r="AD59" s="56" t="s">
        <v>40</v>
      </c>
      <c r="AE59" s="56"/>
      <c r="AF59" s="56" t="s">
        <v>40</v>
      </c>
      <c r="AG59" s="56" t="s">
        <v>40</v>
      </c>
      <c r="AH59" s="56"/>
      <c r="AI59" s="56" t="s">
        <v>40</v>
      </c>
      <c r="AJ59" s="56"/>
      <c r="AK59" s="56" t="s">
        <v>40</v>
      </c>
      <c r="AL59" s="56"/>
      <c r="AM59" s="56"/>
      <c r="AN59" s="56" t="s">
        <v>40</v>
      </c>
      <c r="AO59" s="56"/>
      <c r="AP59" s="62"/>
      <c r="AQ59" s="62"/>
      <c r="AR59" s="62"/>
      <c r="AS59" s="62"/>
      <c r="AT59" s="62"/>
      <c r="AU59" s="62"/>
      <c r="AV59" s="62"/>
      <c r="AW59" s="62"/>
      <c r="AX59" s="62"/>
      <c r="AY59" s="62"/>
      <c r="AZ59" s="62"/>
      <c r="BA59" s="62"/>
      <c r="BB59" s="62"/>
      <c r="BC59" s="62"/>
      <c r="BD59" s="62"/>
      <c r="BE59" s="62"/>
      <c r="BF59" s="62"/>
      <c r="BG59" s="62"/>
      <c r="BH59" s="62"/>
      <c r="BI59" s="62"/>
      <c r="BJ59" s="62"/>
      <c r="BK59" s="62"/>
      <c r="BL59" s="62"/>
      <c r="BM59" s="62"/>
      <c r="BN59" s="62"/>
      <c r="BO59" s="62"/>
      <c r="BP59" s="62"/>
      <c r="BQ59" s="62"/>
      <c r="BR59" s="62"/>
      <c r="BS59" s="62"/>
      <c r="BT59" s="62"/>
      <c r="BU59" s="62"/>
      <c r="BV59" s="62"/>
      <c r="BW59" s="62"/>
      <c r="BX59" s="62"/>
      <c r="BY59" s="62"/>
      <c r="BZ59" s="62"/>
      <c r="CA59" s="62"/>
      <c r="CB59" s="62"/>
      <c r="EU59" s="30"/>
      <c r="EV59" s="30"/>
      <c r="EW59" s="30"/>
    </row>
    <row r="60" spans="1:153" ht="15" customHeight="1" x14ac:dyDescent="0.3">
      <c r="A60" s="47" t="s">
        <v>90</v>
      </c>
      <c r="U60" s="62"/>
      <c r="V60" s="62"/>
      <c r="W60" s="62"/>
      <c r="X60" s="62"/>
      <c r="Y60" s="62"/>
      <c r="Z60" s="62"/>
      <c r="AA60" s="62"/>
      <c r="AB60" s="62"/>
      <c r="AF60" s="62"/>
      <c r="AG60" s="62"/>
      <c r="AK60" s="62"/>
      <c r="AL60" s="62"/>
      <c r="AN60" s="62"/>
      <c r="AP60" s="62"/>
      <c r="AQ60" s="62"/>
      <c r="AR60" s="62"/>
      <c r="AS60" s="62"/>
      <c r="AT60" s="62"/>
      <c r="AU60" s="62"/>
      <c r="AV60" s="62"/>
      <c r="AW60" s="62"/>
      <c r="AX60" s="62"/>
      <c r="AY60" s="62"/>
      <c r="AZ60" s="62"/>
      <c r="BA60" s="62"/>
      <c r="BB60" s="62"/>
      <c r="BC60" s="62"/>
      <c r="BD60" s="62"/>
      <c r="BE60" s="62"/>
      <c r="BF60" s="62"/>
      <c r="BG60" s="62"/>
      <c r="BH60" s="62"/>
      <c r="BI60" s="62"/>
      <c r="BJ60" s="62"/>
      <c r="BK60" s="62"/>
      <c r="BL60" s="62"/>
      <c r="BM60" s="62"/>
      <c r="BN60" s="62"/>
      <c r="BO60" s="62"/>
      <c r="BP60" s="62"/>
      <c r="BQ60" s="62"/>
      <c r="BR60" s="62"/>
      <c r="BS60" s="62"/>
      <c r="BT60" s="62"/>
      <c r="BU60" s="62"/>
      <c r="BV60" s="62"/>
      <c r="BW60" s="62"/>
      <c r="BX60" s="62"/>
      <c r="BY60" s="62"/>
      <c r="BZ60" s="62"/>
      <c r="CA60" s="62"/>
      <c r="CB60" s="62"/>
      <c r="EU60" s="30"/>
      <c r="EV60" s="30"/>
      <c r="EW60" s="30"/>
    </row>
    <row r="61" spans="1:153" ht="15" customHeight="1" x14ac:dyDescent="0.25">
      <c r="A61" s="52" t="s">
        <v>52</v>
      </c>
      <c r="B61" s="56" t="s">
        <v>40</v>
      </c>
      <c r="C61" s="56" t="s">
        <v>40</v>
      </c>
      <c r="D61" s="56"/>
      <c r="E61" s="56"/>
      <c r="F61" s="56"/>
      <c r="G61" s="56"/>
      <c r="H61" s="56" t="s">
        <v>40</v>
      </c>
      <c r="I61" s="56"/>
      <c r="J61" s="56"/>
      <c r="K61" s="56"/>
      <c r="L61" s="56" t="s">
        <v>40</v>
      </c>
      <c r="M61" s="56"/>
      <c r="N61" s="56"/>
      <c r="O61" s="56"/>
      <c r="P61" s="56"/>
      <c r="Q61" s="56"/>
      <c r="R61" s="56" t="s">
        <v>40</v>
      </c>
      <c r="S61" s="56"/>
      <c r="T61" s="56"/>
      <c r="U61" s="56" t="s">
        <v>40</v>
      </c>
      <c r="V61" s="56"/>
      <c r="W61" s="56"/>
      <c r="X61" s="56"/>
      <c r="Y61" s="56"/>
      <c r="Z61" s="56"/>
      <c r="AA61" s="56"/>
      <c r="AB61" s="56"/>
      <c r="AC61" s="56" t="s">
        <v>40</v>
      </c>
      <c r="AD61" s="56"/>
      <c r="AE61" s="56"/>
      <c r="AF61" s="56" t="s">
        <v>40</v>
      </c>
      <c r="AG61" s="56"/>
      <c r="AH61" s="56" t="s">
        <v>40</v>
      </c>
      <c r="AI61" s="56"/>
      <c r="AJ61" s="56"/>
      <c r="AK61" s="56" t="s">
        <v>40</v>
      </c>
      <c r="AL61" s="56" t="s">
        <v>40</v>
      </c>
      <c r="AM61" s="56"/>
      <c r="AN61" s="56" t="s">
        <v>40</v>
      </c>
      <c r="AO61" s="56"/>
      <c r="AP61" s="62"/>
      <c r="AQ61" s="62"/>
      <c r="AR61" s="62"/>
      <c r="AS61" s="62"/>
      <c r="AT61" s="62"/>
      <c r="AU61" s="62"/>
      <c r="AV61" s="62"/>
      <c r="AW61" s="62"/>
      <c r="AX61" s="62"/>
      <c r="AY61" s="62"/>
      <c r="AZ61" s="62"/>
      <c r="BA61" s="62"/>
      <c r="BB61" s="62"/>
      <c r="BC61" s="62"/>
      <c r="BD61" s="62"/>
      <c r="BE61" s="62"/>
      <c r="BF61" s="62"/>
      <c r="BG61" s="62"/>
      <c r="BH61" s="62"/>
      <c r="BI61" s="62"/>
      <c r="BJ61" s="62"/>
      <c r="BK61" s="62"/>
      <c r="BL61" s="62"/>
      <c r="BM61" s="62"/>
      <c r="BN61" s="62"/>
      <c r="BO61" s="62"/>
      <c r="BP61" s="62"/>
      <c r="BQ61" s="62"/>
      <c r="BR61" s="62"/>
      <c r="BS61" s="62"/>
      <c r="BT61" s="62"/>
      <c r="BU61" s="62"/>
      <c r="BV61" s="62"/>
      <c r="BW61" s="62"/>
      <c r="BX61" s="62"/>
      <c r="BY61" s="62"/>
      <c r="BZ61" s="62"/>
      <c r="CA61" s="62"/>
      <c r="CB61" s="62"/>
      <c r="EU61" s="30"/>
      <c r="EV61" s="30"/>
      <c r="EW61" s="30"/>
    </row>
    <row r="62" spans="1:153" ht="15" customHeight="1" x14ac:dyDescent="0.25">
      <c r="A62" s="52" t="s">
        <v>53</v>
      </c>
      <c r="B62" s="56"/>
      <c r="C62" s="56"/>
      <c r="D62" s="56" t="s">
        <v>40</v>
      </c>
      <c r="E62" s="56"/>
      <c r="F62" s="56"/>
      <c r="G62" s="56"/>
      <c r="H62" s="56"/>
      <c r="I62" s="56" t="s">
        <v>40</v>
      </c>
      <c r="J62" s="56"/>
      <c r="K62" s="56" t="s">
        <v>40</v>
      </c>
      <c r="L62" s="56"/>
      <c r="M62" s="56"/>
      <c r="N62" s="56"/>
      <c r="O62" s="56"/>
      <c r="P62" s="56"/>
      <c r="Q62" s="56"/>
      <c r="R62" s="56"/>
      <c r="S62" s="56" t="s">
        <v>40</v>
      </c>
      <c r="T62" s="56"/>
      <c r="U62" s="56"/>
      <c r="V62" s="56" t="s">
        <v>40</v>
      </c>
      <c r="W62" s="56"/>
      <c r="X62" s="56"/>
      <c r="Y62" s="56"/>
      <c r="Z62" s="56"/>
      <c r="AA62" s="56"/>
      <c r="AB62" s="56"/>
      <c r="AC62" s="56"/>
      <c r="AD62" s="56" t="s">
        <v>40</v>
      </c>
      <c r="AE62" s="56"/>
      <c r="AF62" s="56"/>
      <c r="AG62" s="56"/>
      <c r="AH62" s="56"/>
      <c r="AI62" s="56" t="s">
        <v>40</v>
      </c>
      <c r="AJ62" s="56"/>
      <c r="AK62" s="56"/>
      <c r="AL62" s="56"/>
      <c r="AM62" s="56"/>
      <c r="AN62" s="56"/>
      <c r="AO62" s="56"/>
      <c r="AP62" s="62"/>
      <c r="AQ62" s="62"/>
      <c r="AR62" s="62"/>
      <c r="AS62" s="62"/>
      <c r="AT62" s="62"/>
      <c r="AU62" s="62"/>
      <c r="AV62" s="62"/>
      <c r="AW62" s="62"/>
      <c r="AX62" s="62"/>
      <c r="AY62" s="62"/>
      <c r="AZ62" s="62"/>
      <c r="BA62" s="62"/>
      <c r="BB62" s="62"/>
      <c r="BC62" s="62"/>
      <c r="BD62" s="62"/>
      <c r="BE62" s="62"/>
      <c r="BF62" s="62"/>
      <c r="BG62" s="62"/>
      <c r="BH62" s="62"/>
      <c r="BI62" s="62"/>
      <c r="BJ62" s="62"/>
      <c r="BK62" s="62"/>
      <c r="BL62" s="62"/>
      <c r="BM62" s="62"/>
      <c r="BN62" s="62"/>
      <c r="BO62" s="62"/>
      <c r="BP62" s="62"/>
      <c r="BQ62" s="62"/>
      <c r="BR62" s="62"/>
      <c r="BS62" s="62"/>
      <c r="BT62" s="62"/>
      <c r="BU62" s="62"/>
      <c r="BV62" s="62"/>
      <c r="BW62" s="62"/>
      <c r="BX62" s="62"/>
      <c r="BY62" s="62"/>
      <c r="BZ62" s="62"/>
      <c r="CA62" s="62"/>
      <c r="CB62" s="62"/>
      <c r="EU62" s="30"/>
      <c r="EV62" s="30"/>
      <c r="EW62" s="30"/>
    </row>
    <row r="63" spans="1:153" ht="15" customHeight="1" x14ac:dyDescent="0.25">
      <c r="A63" s="52" t="s">
        <v>54</v>
      </c>
      <c r="B63" s="56"/>
      <c r="C63" s="56"/>
      <c r="D63" s="56"/>
      <c r="E63" s="56" t="s">
        <v>40</v>
      </c>
      <c r="F63" s="56"/>
      <c r="G63" s="56" t="s">
        <v>40</v>
      </c>
      <c r="H63" s="56"/>
      <c r="I63" s="56"/>
      <c r="J63" s="56" t="s">
        <v>40</v>
      </c>
      <c r="K63" s="56"/>
      <c r="L63" s="56"/>
      <c r="M63" s="56"/>
      <c r="N63" s="56"/>
      <c r="O63" s="56"/>
      <c r="P63" s="56" t="s">
        <v>40</v>
      </c>
      <c r="Q63" s="56"/>
      <c r="R63" s="56"/>
      <c r="S63" s="56"/>
      <c r="T63" s="56" t="s">
        <v>40</v>
      </c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 t="s">
        <v>40</v>
      </c>
      <c r="AF63" s="56"/>
      <c r="AG63" s="56" t="s">
        <v>40</v>
      </c>
      <c r="AH63" s="56"/>
      <c r="AI63" s="56"/>
      <c r="AJ63" s="56" t="s">
        <v>40</v>
      </c>
      <c r="AK63" s="56"/>
      <c r="AL63" s="56"/>
      <c r="AM63" s="56" t="s">
        <v>40</v>
      </c>
      <c r="AN63" s="56"/>
      <c r="AO63" s="56" t="s">
        <v>40</v>
      </c>
      <c r="AP63" s="62"/>
      <c r="AQ63" s="62"/>
      <c r="AR63" s="62"/>
      <c r="AS63" s="62"/>
      <c r="AT63" s="62"/>
      <c r="AU63" s="62"/>
      <c r="AV63" s="62"/>
      <c r="AW63" s="62"/>
      <c r="AX63" s="62"/>
      <c r="AY63" s="62"/>
      <c r="AZ63" s="62"/>
      <c r="BA63" s="62"/>
      <c r="BB63" s="62"/>
      <c r="BC63" s="62"/>
      <c r="BD63" s="62"/>
      <c r="BE63" s="62"/>
      <c r="BF63" s="62"/>
      <c r="BG63" s="62"/>
      <c r="BH63" s="62"/>
      <c r="BI63" s="62"/>
      <c r="BJ63" s="62"/>
      <c r="BK63" s="62"/>
      <c r="BL63" s="62"/>
      <c r="BM63" s="62"/>
      <c r="BN63" s="62"/>
      <c r="BO63" s="62"/>
      <c r="BP63" s="62"/>
      <c r="BQ63" s="62"/>
      <c r="BR63" s="62"/>
      <c r="BS63" s="62"/>
      <c r="BT63" s="62"/>
      <c r="BU63" s="62"/>
      <c r="BV63" s="62"/>
      <c r="BW63" s="62"/>
      <c r="BX63" s="62"/>
      <c r="BY63" s="62"/>
      <c r="BZ63" s="62"/>
      <c r="CA63" s="62"/>
      <c r="CB63" s="62"/>
      <c r="EU63" s="30"/>
      <c r="EV63" s="30"/>
      <c r="EW63" s="30"/>
    </row>
    <row r="64" spans="1:153" ht="15" customHeight="1" x14ac:dyDescent="0.3">
      <c r="A64" s="47" t="s">
        <v>91</v>
      </c>
      <c r="B64" s="62"/>
      <c r="C64" s="62"/>
      <c r="D64" s="62"/>
      <c r="E64" s="62"/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62"/>
      <c r="AB64" s="62"/>
      <c r="AC64" s="62"/>
      <c r="AD64" s="62"/>
      <c r="AE64" s="62"/>
      <c r="AF64" s="62"/>
      <c r="AG64" s="62"/>
      <c r="AH64" s="62"/>
      <c r="AI64" s="62"/>
      <c r="AJ64" s="62"/>
      <c r="AK64" s="62"/>
      <c r="AL64" s="62"/>
      <c r="AM64" s="62"/>
      <c r="AN64" s="62"/>
      <c r="AO64" s="62"/>
      <c r="AP64" s="62"/>
      <c r="AQ64" s="62"/>
      <c r="AR64" s="62"/>
      <c r="AS64" s="62"/>
      <c r="AT64" s="62"/>
      <c r="AU64" s="62"/>
      <c r="AV64" s="62"/>
      <c r="AW64" s="62"/>
      <c r="AX64" s="62"/>
      <c r="AY64" s="62"/>
      <c r="AZ64" s="62"/>
      <c r="BA64" s="62"/>
      <c r="BB64" s="62"/>
      <c r="BC64" s="62"/>
      <c r="BD64" s="62"/>
      <c r="BE64" s="62"/>
      <c r="BF64" s="62"/>
      <c r="BG64" s="62"/>
      <c r="BH64" s="62"/>
      <c r="BI64" s="62"/>
      <c r="BJ64" s="62"/>
      <c r="BK64" s="62"/>
      <c r="BL64" s="62"/>
      <c r="BM64" s="62"/>
      <c r="BN64" s="62"/>
      <c r="BO64" s="62"/>
      <c r="BP64" s="62"/>
      <c r="BQ64" s="62"/>
      <c r="BR64" s="62"/>
      <c r="BS64" s="62"/>
      <c r="BT64" s="62"/>
      <c r="BU64" s="62"/>
      <c r="BV64" s="62"/>
      <c r="BW64" s="62"/>
      <c r="BX64" s="62"/>
      <c r="BY64" s="62"/>
      <c r="BZ64" s="62"/>
      <c r="CA64" s="62"/>
      <c r="CB64" s="62"/>
      <c r="EU64" s="30"/>
      <c r="EV64" s="30"/>
      <c r="EW64" s="30"/>
    </row>
    <row r="65" spans="1:153" ht="15" customHeight="1" x14ac:dyDescent="0.25">
      <c r="A65" s="52" t="s">
        <v>92</v>
      </c>
      <c r="B65" s="56" t="s">
        <v>40</v>
      </c>
      <c r="C65" s="56"/>
      <c r="D65" s="56" t="s">
        <v>40</v>
      </c>
      <c r="E65" s="56"/>
      <c r="F65" s="56" t="s">
        <v>40</v>
      </c>
      <c r="G65" s="56" t="s">
        <v>40</v>
      </c>
      <c r="H65" s="56"/>
      <c r="I65" s="56" t="s">
        <v>40</v>
      </c>
      <c r="J65" s="62"/>
      <c r="K65" s="62"/>
      <c r="L65" s="62"/>
      <c r="M65" s="62"/>
      <c r="N65" s="62"/>
      <c r="O65" s="62"/>
      <c r="P65" s="62"/>
      <c r="Q65" s="62"/>
      <c r="R65" s="56" t="s">
        <v>40</v>
      </c>
      <c r="S65" s="56"/>
      <c r="T65" s="56" t="s">
        <v>40</v>
      </c>
      <c r="U65" s="56"/>
      <c r="V65" s="56" t="s">
        <v>40</v>
      </c>
      <c r="W65" s="56"/>
      <c r="X65" s="56"/>
      <c r="Y65" s="56"/>
      <c r="Z65" s="56"/>
      <c r="AA65" s="56"/>
      <c r="AB65" s="56"/>
      <c r="AC65" s="56" t="s">
        <v>40</v>
      </c>
      <c r="AD65" s="56"/>
      <c r="AE65" s="56" t="s">
        <v>40</v>
      </c>
      <c r="AF65" s="56"/>
      <c r="AG65" s="56"/>
      <c r="AH65" s="56" t="s">
        <v>40</v>
      </c>
      <c r="AI65" s="56"/>
      <c r="AJ65" s="56" t="s">
        <v>40</v>
      </c>
      <c r="AK65" s="56"/>
      <c r="AL65" s="56" t="s">
        <v>40</v>
      </c>
      <c r="AM65" s="56" t="s">
        <v>40</v>
      </c>
      <c r="AN65" s="56"/>
      <c r="AO65" s="56" t="s">
        <v>40</v>
      </c>
      <c r="AP65" s="62"/>
      <c r="AQ65" s="62"/>
      <c r="AR65" s="62"/>
      <c r="AS65" s="62"/>
      <c r="AT65" s="62"/>
      <c r="AU65" s="62"/>
      <c r="AV65" s="62"/>
      <c r="AW65" s="62"/>
      <c r="AX65" s="62"/>
      <c r="AY65" s="62"/>
      <c r="AZ65" s="62"/>
      <c r="BA65" s="62"/>
      <c r="BB65" s="62"/>
      <c r="BC65" s="62"/>
      <c r="BD65" s="62"/>
      <c r="BE65" s="62"/>
      <c r="BF65" s="62"/>
      <c r="BG65" s="62"/>
      <c r="BH65" s="62"/>
      <c r="BI65" s="62"/>
      <c r="BJ65" s="62"/>
      <c r="BK65" s="62"/>
      <c r="BL65" s="62"/>
      <c r="BM65" s="62"/>
      <c r="BN65" s="62"/>
      <c r="BO65" s="62"/>
      <c r="BP65" s="62"/>
      <c r="BQ65" s="62"/>
      <c r="BR65" s="62"/>
      <c r="BS65" s="62"/>
      <c r="BT65" s="62"/>
      <c r="BU65" s="62"/>
      <c r="BV65" s="62"/>
      <c r="BW65" s="62"/>
      <c r="BX65" s="62"/>
      <c r="BY65" s="62"/>
      <c r="BZ65" s="62"/>
      <c r="CA65" s="62"/>
      <c r="CB65" s="62"/>
      <c r="EU65" s="30"/>
      <c r="EV65" s="30"/>
      <c r="EW65" s="30"/>
    </row>
    <row r="66" spans="1:153" ht="15" customHeight="1" x14ac:dyDescent="0.25">
      <c r="A66" s="52" t="s">
        <v>93</v>
      </c>
      <c r="B66" s="56"/>
      <c r="C66" s="56" t="s">
        <v>40</v>
      </c>
      <c r="D66" s="56"/>
      <c r="E66" s="56" t="s">
        <v>40</v>
      </c>
      <c r="F66" s="56"/>
      <c r="G66" s="56"/>
      <c r="H66" s="56" t="s">
        <v>40</v>
      </c>
      <c r="I66" s="56"/>
      <c r="J66" s="62"/>
      <c r="K66" s="62"/>
      <c r="L66" s="62"/>
      <c r="M66" s="62"/>
      <c r="N66" s="62"/>
      <c r="O66" s="62"/>
      <c r="P66" s="62"/>
      <c r="Q66" s="62"/>
      <c r="R66" s="56"/>
      <c r="S66" s="56" t="s">
        <v>40</v>
      </c>
      <c r="T66" s="56"/>
      <c r="U66" s="56" t="s">
        <v>40</v>
      </c>
      <c r="V66" s="56"/>
      <c r="W66" s="56"/>
      <c r="X66" s="56"/>
      <c r="Y66" s="56"/>
      <c r="Z66" s="56"/>
      <c r="AA66" s="56"/>
      <c r="AB66" s="56"/>
      <c r="AC66" s="56"/>
      <c r="AD66" s="56" t="s">
        <v>40</v>
      </c>
      <c r="AE66" s="56"/>
      <c r="AF66" s="56" t="s">
        <v>40</v>
      </c>
      <c r="AG66" s="56" t="s">
        <v>40</v>
      </c>
      <c r="AH66" s="56"/>
      <c r="AI66" s="56" t="s">
        <v>40</v>
      </c>
      <c r="AJ66" s="56"/>
      <c r="AK66" s="56" t="s">
        <v>40</v>
      </c>
      <c r="AL66" s="56"/>
      <c r="AM66" s="56"/>
      <c r="AN66" s="56" t="s">
        <v>40</v>
      </c>
      <c r="AO66" s="56"/>
      <c r="AP66" s="62"/>
      <c r="AQ66" s="62"/>
      <c r="AR66" s="62"/>
      <c r="AS66" s="62"/>
      <c r="AT66" s="62"/>
      <c r="AU66" s="62"/>
      <c r="AV66" s="62"/>
      <c r="AW66" s="62"/>
      <c r="AX66" s="62"/>
      <c r="AY66" s="62"/>
      <c r="AZ66" s="62"/>
      <c r="BA66" s="62"/>
      <c r="BB66" s="62"/>
      <c r="BC66" s="62"/>
      <c r="BD66" s="62"/>
      <c r="BE66" s="62"/>
      <c r="BF66" s="62"/>
      <c r="BG66" s="62"/>
      <c r="BH66" s="62"/>
      <c r="BI66" s="62"/>
      <c r="BJ66" s="62"/>
      <c r="BK66" s="62"/>
      <c r="BL66" s="62"/>
      <c r="BM66" s="62"/>
      <c r="BN66" s="62"/>
      <c r="BO66" s="62"/>
      <c r="BP66" s="62"/>
      <c r="BQ66" s="62"/>
      <c r="BR66" s="62"/>
      <c r="BS66" s="62"/>
      <c r="BT66" s="62"/>
      <c r="BU66" s="62"/>
      <c r="BV66" s="62"/>
      <c r="BW66" s="62"/>
      <c r="BX66" s="62"/>
      <c r="BY66" s="62"/>
      <c r="BZ66" s="62"/>
      <c r="CA66" s="62"/>
      <c r="CB66" s="62"/>
      <c r="EU66" s="30"/>
      <c r="EV66" s="30"/>
      <c r="EW66" s="30"/>
    </row>
    <row r="67" spans="1:153" ht="15" customHeight="1" x14ac:dyDescent="0.3">
      <c r="A67" s="47" t="s">
        <v>94</v>
      </c>
      <c r="B67" s="62"/>
      <c r="C67" s="62"/>
      <c r="D67" s="62"/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62"/>
      <c r="AB67" s="62"/>
      <c r="AC67" s="62"/>
      <c r="AD67" s="62"/>
      <c r="AE67" s="62"/>
      <c r="AF67" s="62"/>
      <c r="AG67" s="62"/>
      <c r="AH67" s="62"/>
      <c r="AI67" s="62"/>
      <c r="AJ67" s="62"/>
      <c r="AK67" s="62"/>
      <c r="AL67" s="62"/>
      <c r="AM67" s="62"/>
      <c r="AN67" s="62"/>
      <c r="AO67" s="62"/>
      <c r="AP67" s="62"/>
      <c r="AQ67" s="62"/>
      <c r="AR67" s="62"/>
      <c r="AS67" s="62"/>
      <c r="AT67" s="62"/>
      <c r="AU67" s="62"/>
      <c r="AV67" s="62"/>
      <c r="AW67" s="62"/>
      <c r="AX67" s="62"/>
      <c r="AY67" s="62"/>
      <c r="AZ67" s="62"/>
      <c r="BA67" s="62"/>
      <c r="BB67" s="62"/>
      <c r="BC67" s="62"/>
      <c r="BD67" s="62"/>
      <c r="BE67" s="62"/>
      <c r="BF67" s="62"/>
      <c r="BG67" s="62"/>
      <c r="BH67" s="62"/>
      <c r="BI67" s="62"/>
      <c r="BJ67" s="62"/>
      <c r="BK67" s="62"/>
      <c r="BL67" s="62"/>
      <c r="BM67" s="62"/>
      <c r="BN67" s="62"/>
      <c r="BO67" s="62"/>
      <c r="BP67" s="62"/>
      <c r="BQ67" s="62"/>
      <c r="BR67" s="62"/>
      <c r="BS67" s="62"/>
      <c r="BT67" s="62"/>
      <c r="BU67" s="62"/>
      <c r="BV67" s="62"/>
      <c r="BW67" s="62"/>
      <c r="BX67" s="62"/>
      <c r="BY67" s="62"/>
      <c r="BZ67" s="62"/>
      <c r="CA67" s="62"/>
      <c r="CB67" s="62"/>
      <c r="EU67" s="30"/>
      <c r="EV67" s="30"/>
      <c r="EW67" s="30"/>
    </row>
    <row r="68" spans="1:153" ht="15" customHeight="1" x14ac:dyDescent="0.3">
      <c r="A68" s="47" t="s">
        <v>64</v>
      </c>
      <c r="B68" s="62"/>
      <c r="C68" s="62"/>
      <c r="D68" s="62"/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62"/>
      <c r="AB68" s="62"/>
      <c r="AC68" s="62"/>
      <c r="AD68" s="62"/>
      <c r="AE68" s="62"/>
      <c r="AF68" s="62"/>
      <c r="AG68" s="62"/>
      <c r="AH68" s="62"/>
      <c r="AI68" s="62"/>
      <c r="AJ68" s="62"/>
      <c r="AK68" s="62"/>
      <c r="AL68" s="62"/>
      <c r="AM68" s="62"/>
      <c r="AN68" s="62"/>
      <c r="AO68" s="62"/>
      <c r="AP68" s="62"/>
      <c r="AQ68" s="62"/>
      <c r="AR68" s="62"/>
      <c r="AS68" s="62"/>
      <c r="AT68" s="62"/>
      <c r="AU68" s="62"/>
      <c r="AV68" s="62"/>
      <c r="AW68" s="62"/>
      <c r="AX68" s="62"/>
      <c r="AY68" s="62"/>
      <c r="AZ68" s="62"/>
      <c r="BA68" s="62"/>
      <c r="BB68" s="62"/>
      <c r="BC68" s="62"/>
      <c r="BD68" s="62"/>
      <c r="BE68" s="62"/>
      <c r="BF68" s="62"/>
      <c r="BG68" s="62"/>
      <c r="BH68" s="62"/>
      <c r="BI68" s="62"/>
      <c r="BJ68" s="62"/>
      <c r="BK68" s="62"/>
      <c r="BL68" s="62"/>
      <c r="BM68" s="62"/>
      <c r="BN68" s="62"/>
      <c r="BO68" s="62"/>
      <c r="BP68" s="62"/>
      <c r="BQ68" s="62"/>
      <c r="BR68" s="62"/>
      <c r="BS68" s="62"/>
      <c r="BT68" s="62"/>
      <c r="BU68" s="62"/>
      <c r="BV68" s="62"/>
      <c r="BW68" s="62"/>
      <c r="BX68" s="62"/>
      <c r="BY68" s="62"/>
      <c r="BZ68" s="62"/>
      <c r="CA68" s="62"/>
      <c r="CB68" s="62"/>
      <c r="EU68" s="30"/>
      <c r="EV68" s="30"/>
      <c r="EW68" s="30"/>
    </row>
    <row r="69" spans="1:153" ht="15" customHeight="1" x14ac:dyDescent="0.25">
      <c r="A69" s="52" t="s">
        <v>65</v>
      </c>
      <c r="B69" s="62"/>
      <c r="C69" s="56" t="s">
        <v>40</v>
      </c>
      <c r="D69" s="56" t="s">
        <v>40</v>
      </c>
      <c r="E69" s="56" t="s">
        <v>40</v>
      </c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62"/>
      <c r="AB69" s="62"/>
      <c r="AC69" s="62"/>
      <c r="AD69" s="62"/>
      <c r="AE69" s="62"/>
      <c r="AF69" s="62"/>
      <c r="AG69" s="62"/>
      <c r="AH69" s="62"/>
      <c r="AI69" s="62"/>
      <c r="AJ69" s="62"/>
      <c r="AK69" s="62"/>
      <c r="AL69" s="62"/>
      <c r="AM69" s="62"/>
      <c r="AN69" s="62"/>
      <c r="AO69" s="62"/>
      <c r="AP69" s="62"/>
      <c r="AQ69" s="62"/>
      <c r="AR69" s="62"/>
      <c r="AS69" s="62"/>
      <c r="AT69" s="62"/>
      <c r="AU69" s="62"/>
      <c r="AV69" s="62"/>
      <c r="AW69" s="62"/>
      <c r="AX69" s="62"/>
      <c r="AY69" s="62"/>
      <c r="AZ69" s="62"/>
      <c r="BA69" s="62"/>
      <c r="BB69" s="62"/>
      <c r="BC69" s="62"/>
      <c r="BD69" s="62"/>
      <c r="BE69" s="62"/>
      <c r="BF69" s="62"/>
      <c r="BG69" s="62"/>
      <c r="BH69" s="62"/>
      <c r="BI69" s="62"/>
      <c r="BJ69" s="62"/>
      <c r="BK69" s="62"/>
      <c r="BL69" s="62"/>
      <c r="BM69" s="62"/>
      <c r="BN69" s="62"/>
      <c r="BO69" s="62"/>
      <c r="BP69" s="62"/>
      <c r="BQ69" s="62"/>
      <c r="BR69" s="62"/>
      <c r="BS69" s="62"/>
      <c r="BT69" s="62"/>
      <c r="BU69" s="62"/>
      <c r="BV69" s="62"/>
      <c r="BW69" s="62"/>
      <c r="BX69" s="62"/>
      <c r="BY69" s="62"/>
      <c r="BZ69" s="62"/>
      <c r="CA69" s="62"/>
      <c r="CB69" s="62"/>
      <c r="EU69" s="30"/>
      <c r="EV69" s="30"/>
      <c r="EW69" s="30"/>
    </row>
    <row r="70" spans="1:153" ht="15" customHeight="1" x14ac:dyDescent="0.25">
      <c r="A70" s="52" t="s">
        <v>66</v>
      </c>
      <c r="B70" s="62"/>
      <c r="C70" s="56"/>
      <c r="D70" s="56"/>
      <c r="E70" s="56"/>
      <c r="F70" s="62"/>
      <c r="G70" s="62"/>
      <c r="H70" s="62"/>
      <c r="I70" s="62"/>
      <c r="J70" s="62"/>
      <c r="K70" s="62"/>
      <c r="L70" s="62"/>
      <c r="M70" s="62"/>
      <c r="N70" s="62"/>
      <c r="O70" s="62"/>
      <c r="P70" s="62"/>
      <c r="Q70" s="62"/>
      <c r="R70" s="62"/>
      <c r="S70" s="62"/>
      <c r="T70" s="62"/>
      <c r="U70" s="62"/>
      <c r="V70" s="62"/>
      <c r="W70" s="62"/>
      <c r="X70" s="62"/>
      <c r="Y70" s="62"/>
      <c r="Z70" s="62"/>
      <c r="AA70" s="62"/>
      <c r="AB70" s="62"/>
      <c r="AC70" s="62"/>
      <c r="AD70" s="62"/>
      <c r="AE70" s="62"/>
      <c r="AF70" s="62"/>
      <c r="AG70" s="62"/>
      <c r="AH70" s="62"/>
      <c r="AI70" s="62"/>
      <c r="AJ70" s="62"/>
      <c r="AK70" s="62"/>
      <c r="AL70" s="62"/>
      <c r="AM70" s="62"/>
      <c r="AN70" s="62"/>
      <c r="AO70" s="62"/>
      <c r="AP70" s="62"/>
      <c r="AQ70" s="62"/>
      <c r="AR70" s="62"/>
      <c r="AS70" s="62"/>
      <c r="AT70" s="62"/>
      <c r="AU70" s="62"/>
      <c r="AV70" s="62"/>
      <c r="AW70" s="62"/>
      <c r="AX70" s="62"/>
      <c r="AY70" s="62"/>
      <c r="AZ70" s="62"/>
      <c r="BA70" s="62"/>
      <c r="BB70" s="62"/>
      <c r="BC70" s="62"/>
      <c r="BD70" s="62"/>
      <c r="BE70" s="62"/>
      <c r="BF70" s="62"/>
      <c r="BG70" s="62"/>
      <c r="BH70" s="62"/>
      <c r="BI70" s="62"/>
      <c r="BJ70" s="62"/>
      <c r="BK70" s="62"/>
      <c r="BL70" s="62"/>
      <c r="BM70" s="62"/>
      <c r="BN70" s="62"/>
      <c r="BO70" s="62"/>
      <c r="BP70" s="62"/>
      <c r="BQ70" s="62"/>
      <c r="BR70" s="62"/>
      <c r="BS70" s="62"/>
      <c r="BT70" s="62"/>
      <c r="BU70" s="62"/>
      <c r="BV70" s="62"/>
      <c r="BW70" s="62"/>
      <c r="BX70" s="62"/>
      <c r="BY70" s="62"/>
      <c r="BZ70" s="62"/>
      <c r="CA70" s="62"/>
      <c r="CB70" s="62"/>
      <c r="EU70" s="30"/>
      <c r="EV70" s="30"/>
      <c r="EW70" s="30"/>
    </row>
    <row r="71" spans="1:153" ht="15" customHeight="1" x14ac:dyDescent="0.3">
      <c r="A71" s="47" t="s">
        <v>67</v>
      </c>
      <c r="B71" s="62"/>
      <c r="C71" s="62"/>
      <c r="D71" s="62"/>
      <c r="E71" s="62"/>
      <c r="F71" s="62"/>
      <c r="G71" s="62"/>
      <c r="H71" s="62"/>
      <c r="I71" s="62"/>
      <c r="J71" s="62"/>
      <c r="K71" s="62"/>
      <c r="L71" s="62"/>
      <c r="M71" s="62"/>
      <c r="N71" s="62"/>
      <c r="O71" s="62"/>
      <c r="P71" s="62"/>
      <c r="Q71" s="62"/>
      <c r="R71" s="62"/>
      <c r="S71" s="62"/>
      <c r="T71" s="62"/>
      <c r="U71" s="62"/>
      <c r="V71" s="62"/>
      <c r="W71" s="62"/>
      <c r="X71" s="62"/>
      <c r="Y71" s="62"/>
      <c r="Z71" s="62"/>
      <c r="AA71" s="62"/>
      <c r="AB71" s="62"/>
      <c r="AC71" s="62"/>
      <c r="AD71" s="62"/>
      <c r="AE71" s="62"/>
      <c r="AF71" s="62"/>
      <c r="AG71" s="62"/>
      <c r="AH71" s="62"/>
      <c r="AI71" s="62"/>
      <c r="AJ71" s="62"/>
      <c r="AK71" s="62"/>
      <c r="AL71" s="62"/>
      <c r="AM71" s="62"/>
      <c r="AN71" s="62"/>
      <c r="AO71" s="62"/>
      <c r="AP71" s="62"/>
      <c r="AQ71" s="62"/>
      <c r="AR71" s="62"/>
      <c r="AS71" s="62"/>
      <c r="AT71" s="62"/>
      <c r="AU71" s="62"/>
      <c r="AV71" s="62"/>
      <c r="AW71" s="62"/>
      <c r="AX71" s="62"/>
      <c r="AY71" s="62"/>
      <c r="AZ71" s="62"/>
      <c r="BA71" s="62"/>
      <c r="BB71" s="62"/>
      <c r="BC71" s="62"/>
      <c r="BD71" s="62"/>
      <c r="BE71" s="62"/>
      <c r="BF71" s="62"/>
      <c r="BG71" s="62"/>
      <c r="BH71" s="62"/>
      <c r="BI71" s="62"/>
      <c r="BJ71" s="62"/>
      <c r="BK71" s="62"/>
      <c r="BL71" s="62"/>
      <c r="BM71" s="62"/>
      <c r="BN71" s="62"/>
      <c r="BO71" s="62"/>
      <c r="BP71" s="62"/>
      <c r="BQ71" s="62"/>
      <c r="BR71" s="62"/>
      <c r="BS71" s="62"/>
      <c r="BT71" s="62"/>
      <c r="BU71" s="62"/>
      <c r="BV71" s="62"/>
      <c r="BW71" s="62"/>
      <c r="BX71" s="62"/>
      <c r="BY71" s="62"/>
      <c r="BZ71" s="62"/>
      <c r="CA71" s="62"/>
      <c r="CB71" s="62"/>
      <c r="EU71" s="30"/>
      <c r="EV71" s="30"/>
      <c r="EW71" s="30"/>
    </row>
    <row r="72" spans="1:153" ht="15" customHeight="1" x14ac:dyDescent="0.25">
      <c r="A72" s="52" t="s">
        <v>65</v>
      </c>
      <c r="B72" s="62"/>
      <c r="C72" s="56" t="s">
        <v>40</v>
      </c>
      <c r="D72" s="56"/>
      <c r="E72" s="56" t="s">
        <v>40</v>
      </c>
      <c r="F72" s="62"/>
      <c r="G72" s="62"/>
      <c r="H72" s="62"/>
      <c r="I72" s="62"/>
      <c r="J72" s="62"/>
      <c r="K72" s="62"/>
      <c r="L72" s="62"/>
      <c r="M72" s="62"/>
      <c r="N72" s="62"/>
      <c r="O72" s="62"/>
      <c r="P72" s="62"/>
      <c r="Q72" s="62"/>
      <c r="R72" s="62"/>
      <c r="S72" s="62"/>
      <c r="T72" s="62"/>
      <c r="U72" s="62"/>
      <c r="V72" s="62"/>
      <c r="W72" s="62"/>
      <c r="X72" s="62"/>
      <c r="Y72" s="62"/>
      <c r="Z72" s="62"/>
      <c r="AA72" s="62"/>
      <c r="AB72" s="62"/>
      <c r="AC72" s="62"/>
      <c r="AD72" s="62"/>
      <c r="AE72" s="62"/>
      <c r="AF72" s="62"/>
      <c r="AG72" s="62"/>
      <c r="AH72" s="62"/>
      <c r="AI72" s="62"/>
      <c r="AJ72" s="62"/>
      <c r="AK72" s="62"/>
      <c r="AL72" s="62"/>
      <c r="AM72" s="62"/>
      <c r="AN72" s="62"/>
      <c r="AO72" s="62"/>
      <c r="AP72" s="62"/>
      <c r="AQ72" s="62"/>
      <c r="AR72" s="62"/>
      <c r="AS72" s="62"/>
      <c r="AT72" s="62"/>
      <c r="AU72" s="62"/>
      <c r="AV72" s="62"/>
      <c r="AW72" s="62"/>
      <c r="AX72" s="62"/>
      <c r="AY72" s="62"/>
      <c r="AZ72" s="62"/>
      <c r="BA72" s="62"/>
      <c r="BB72" s="62"/>
      <c r="BC72" s="62"/>
      <c r="BD72" s="62"/>
      <c r="BE72" s="62"/>
      <c r="BF72" s="62"/>
      <c r="BG72" s="62"/>
      <c r="BH72" s="62"/>
      <c r="BI72" s="62"/>
      <c r="BJ72" s="62"/>
      <c r="BK72" s="62"/>
      <c r="BL72" s="62"/>
      <c r="BM72" s="62"/>
      <c r="BN72" s="62"/>
      <c r="BO72" s="62"/>
      <c r="BP72" s="62"/>
      <c r="BQ72" s="62"/>
      <c r="BR72" s="62"/>
      <c r="BS72" s="62"/>
      <c r="BT72" s="62"/>
      <c r="BU72" s="62"/>
      <c r="BV72" s="62"/>
      <c r="BW72" s="62"/>
      <c r="BX72" s="62"/>
      <c r="BY72" s="62"/>
      <c r="BZ72" s="62"/>
      <c r="CA72" s="62"/>
      <c r="CB72" s="62"/>
      <c r="EU72" s="30"/>
      <c r="EV72" s="30"/>
      <c r="EW72" s="30"/>
    </row>
    <row r="73" spans="1:153" ht="15" customHeight="1" x14ac:dyDescent="0.25">
      <c r="A73" s="52" t="s">
        <v>66</v>
      </c>
      <c r="B73" s="62"/>
      <c r="C73" s="56"/>
      <c r="D73" s="56" t="s">
        <v>40</v>
      </c>
      <c r="E73" s="56"/>
      <c r="F73" s="62"/>
      <c r="G73" s="62"/>
      <c r="H73" s="62"/>
      <c r="I73" s="62"/>
      <c r="J73" s="62"/>
      <c r="K73" s="62"/>
      <c r="L73" s="62"/>
      <c r="M73" s="62"/>
      <c r="N73" s="62"/>
      <c r="O73" s="62"/>
      <c r="P73" s="62"/>
      <c r="Q73" s="62"/>
      <c r="R73" s="62"/>
      <c r="S73" s="62"/>
      <c r="T73" s="62"/>
      <c r="U73" s="62"/>
      <c r="V73" s="62"/>
      <c r="W73" s="62"/>
      <c r="X73" s="62"/>
      <c r="Y73" s="62"/>
      <c r="Z73" s="62"/>
      <c r="AA73" s="62"/>
      <c r="AB73" s="62"/>
      <c r="AC73" s="62"/>
      <c r="AD73" s="62"/>
      <c r="AE73" s="62"/>
      <c r="AF73" s="62"/>
      <c r="AG73" s="62"/>
      <c r="AH73" s="62"/>
      <c r="AI73" s="62"/>
      <c r="AJ73" s="62"/>
      <c r="AK73" s="62"/>
      <c r="AL73" s="62"/>
      <c r="AM73" s="62"/>
      <c r="AN73" s="62"/>
      <c r="AO73" s="62"/>
      <c r="AP73" s="62"/>
      <c r="AQ73" s="62"/>
      <c r="AR73" s="62"/>
      <c r="AS73" s="62"/>
      <c r="AT73" s="62"/>
      <c r="AU73" s="62"/>
      <c r="AV73" s="62"/>
      <c r="AW73" s="62"/>
      <c r="AX73" s="62"/>
      <c r="AY73" s="62"/>
      <c r="AZ73" s="62"/>
      <c r="BA73" s="62"/>
      <c r="BB73" s="62"/>
      <c r="BC73" s="62"/>
      <c r="BD73" s="62"/>
      <c r="BE73" s="62"/>
      <c r="BF73" s="62"/>
      <c r="BG73" s="62"/>
      <c r="BH73" s="62"/>
      <c r="BI73" s="62"/>
      <c r="BJ73" s="62"/>
      <c r="BK73" s="62"/>
      <c r="BL73" s="62"/>
      <c r="BM73" s="62"/>
      <c r="BN73" s="62"/>
      <c r="BO73" s="62"/>
      <c r="BP73" s="62"/>
      <c r="BQ73" s="62"/>
      <c r="BR73" s="62"/>
      <c r="BS73" s="62"/>
      <c r="BT73" s="62"/>
      <c r="BU73" s="62"/>
      <c r="BV73" s="62"/>
      <c r="BW73" s="62"/>
      <c r="BX73" s="62"/>
      <c r="BY73" s="62"/>
      <c r="BZ73" s="62"/>
      <c r="CA73" s="62"/>
      <c r="CB73" s="62"/>
      <c r="EU73" s="30"/>
      <c r="EV73" s="30"/>
      <c r="EW73" s="30"/>
    </row>
    <row r="74" spans="1:153" ht="15" customHeight="1" x14ac:dyDescent="0.3">
      <c r="A74" s="47" t="s">
        <v>68</v>
      </c>
      <c r="B74" s="62"/>
      <c r="C74" s="62"/>
      <c r="D74" s="62"/>
      <c r="E74" s="62"/>
      <c r="F74" s="62"/>
      <c r="G74" s="62"/>
      <c r="H74" s="62"/>
      <c r="I74" s="62"/>
      <c r="J74" s="62"/>
      <c r="K74" s="62"/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2"/>
      <c r="Z74" s="62"/>
      <c r="AA74" s="62"/>
      <c r="AB74" s="62"/>
      <c r="AC74" s="62"/>
      <c r="AD74" s="62"/>
      <c r="AE74" s="62"/>
      <c r="AF74" s="62"/>
      <c r="AG74" s="62"/>
      <c r="AH74" s="62"/>
      <c r="AI74" s="62"/>
      <c r="AJ74" s="62"/>
      <c r="AK74" s="62"/>
      <c r="AL74" s="62"/>
      <c r="AM74" s="62"/>
      <c r="AN74" s="62"/>
      <c r="AO74" s="62"/>
      <c r="AP74" s="62"/>
      <c r="AQ74" s="62"/>
      <c r="AR74" s="62"/>
      <c r="AS74" s="62"/>
      <c r="AT74" s="62"/>
      <c r="AU74" s="62"/>
      <c r="AV74" s="62"/>
      <c r="AW74" s="62"/>
      <c r="AX74" s="62"/>
      <c r="AY74" s="62"/>
      <c r="AZ74" s="62"/>
      <c r="BA74" s="62"/>
      <c r="BB74" s="62"/>
      <c r="BC74" s="62"/>
      <c r="BD74" s="62"/>
      <c r="BE74" s="62"/>
      <c r="BF74" s="62"/>
      <c r="BG74" s="62"/>
      <c r="BH74" s="62"/>
      <c r="BI74" s="62"/>
      <c r="BJ74" s="62"/>
      <c r="BK74" s="62"/>
      <c r="BL74" s="62"/>
      <c r="BM74" s="62"/>
      <c r="BN74" s="62"/>
      <c r="BO74" s="62"/>
      <c r="BP74" s="62"/>
      <c r="BQ74" s="62"/>
      <c r="BR74" s="62"/>
      <c r="BS74" s="62"/>
      <c r="BT74" s="62"/>
      <c r="BU74" s="62"/>
      <c r="BV74" s="62"/>
      <c r="BW74" s="62"/>
      <c r="BX74" s="62"/>
      <c r="BY74" s="62"/>
      <c r="BZ74" s="62"/>
      <c r="CA74" s="62"/>
      <c r="CB74" s="62"/>
      <c r="EU74" s="30"/>
      <c r="EV74" s="30"/>
      <c r="EW74" s="30"/>
    </row>
    <row r="75" spans="1:153" ht="15" customHeight="1" x14ac:dyDescent="0.25">
      <c r="A75" s="52" t="s">
        <v>65</v>
      </c>
      <c r="B75" s="62"/>
      <c r="C75" s="56" t="s">
        <v>40</v>
      </c>
      <c r="D75" s="56" t="s">
        <v>40</v>
      </c>
      <c r="E75" s="56" t="s">
        <v>40</v>
      </c>
      <c r="F75" s="62"/>
      <c r="G75" s="62"/>
      <c r="H75" s="62"/>
      <c r="I75" s="62"/>
      <c r="J75" s="62"/>
      <c r="K75" s="62"/>
      <c r="L75" s="62"/>
      <c r="M75" s="62"/>
      <c r="N75" s="62"/>
      <c r="O75" s="62"/>
      <c r="P75" s="62"/>
      <c r="Q75" s="62"/>
      <c r="R75" s="62"/>
      <c r="S75" s="62"/>
      <c r="T75" s="62"/>
      <c r="U75" s="62"/>
      <c r="V75" s="62"/>
      <c r="W75" s="62"/>
      <c r="X75" s="62"/>
      <c r="Y75" s="62"/>
      <c r="Z75" s="62"/>
      <c r="AA75" s="62"/>
      <c r="AB75" s="62"/>
      <c r="AC75" s="62"/>
      <c r="AD75" s="62"/>
      <c r="AE75" s="62"/>
      <c r="AF75" s="62"/>
      <c r="AG75" s="62"/>
      <c r="AH75" s="62"/>
      <c r="AI75" s="62"/>
      <c r="AJ75" s="62"/>
      <c r="AK75" s="62"/>
      <c r="AL75" s="62"/>
      <c r="AM75" s="62"/>
      <c r="AN75" s="62"/>
      <c r="AO75" s="62"/>
      <c r="AP75" s="62"/>
      <c r="AQ75" s="62"/>
      <c r="AR75" s="62"/>
      <c r="AS75" s="62"/>
      <c r="AT75" s="62"/>
      <c r="AU75" s="62"/>
      <c r="AV75" s="62"/>
      <c r="AW75" s="62"/>
      <c r="AX75" s="62"/>
      <c r="AY75" s="62"/>
      <c r="AZ75" s="62"/>
      <c r="BA75" s="62"/>
      <c r="BB75" s="62"/>
      <c r="BC75" s="62"/>
      <c r="BD75" s="62"/>
      <c r="BE75" s="62"/>
      <c r="BF75" s="62"/>
      <c r="BG75" s="62"/>
      <c r="BH75" s="62"/>
      <c r="BI75" s="62"/>
      <c r="BJ75" s="62"/>
      <c r="BK75" s="62"/>
      <c r="BL75" s="62"/>
      <c r="BM75" s="62"/>
      <c r="BN75" s="62"/>
      <c r="BO75" s="62"/>
      <c r="BP75" s="62"/>
      <c r="BQ75" s="62"/>
      <c r="BR75" s="62"/>
      <c r="BS75" s="62"/>
      <c r="BT75" s="62"/>
      <c r="BU75" s="62"/>
      <c r="BV75" s="62"/>
      <c r="BW75" s="62"/>
      <c r="BX75" s="62"/>
      <c r="BY75" s="62"/>
      <c r="BZ75" s="62"/>
      <c r="CA75" s="62"/>
      <c r="CB75" s="62"/>
      <c r="EU75" s="30"/>
      <c r="EV75" s="30"/>
      <c r="EW75" s="30"/>
    </row>
    <row r="76" spans="1:153" ht="15" customHeight="1" x14ac:dyDescent="0.25">
      <c r="A76" s="52" t="s">
        <v>66</v>
      </c>
      <c r="B76" s="62"/>
      <c r="C76" s="56"/>
      <c r="D76" s="56"/>
      <c r="E76" s="56"/>
      <c r="F76" s="62"/>
      <c r="G76" s="62"/>
      <c r="H76" s="62"/>
      <c r="I76" s="62"/>
      <c r="J76" s="62"/>
      <c r="K76" s="62"/>
      <c r="L76" s="62"/>
      <c r="M76" s="62"/>
      <c r="N76" s="62"/>
      <c r="O76" s="62"/>
      <c r="P76" s="62"/>
      <c r="Q76" s="62"/>
      <c r="R76" s="62"/>
      <c r="S76" s="62"/>
      <c r="T76" s="62"/>
      <c r="U76" s="62"/>
      <c r="V76" s="62"/>
      <c r="W76" s="62"/>
      <c r="X76" s="62"/>
      <c r="Y76" s="62"/>
      <c r="Z76" s="62"/>
      <c r="AA76" s="62"/>
      <c r="AB76" s="62"/>
      <c r="AC76" s="62"/>
      <c r="AD76" s="62"/>
      <c r="AE76" s="62"/>
      <c r="AF76" s="62"/>
      <c r="AG76" s="62"/>
      <c r="AH76" s="62"/>
      <c r="AI76" s="62"/>
      <c r="AJ76" s="62"/>
      <c r="AK76" s="62"/>
      <c r="AL76" s="62"/>
      <c r="AM76" s="62"/>
      <c r="AN76" s="62"/>
      <c r="AO76" s="62"/>
      <c r="AP76" s="62"/>
      <c r="AQ76" s="62"/>
      <c r="AR76" s="62"/>
      <c r="AS76" s="62"/>
      <c r="AT76" s="62"/>
      <c r="AU76" s="62"/>
      <c r="AV76" s="62"/>
      <c r="AW76" s="62"/>
      <c r="AX76" s="62"/>
      <c r="AY76" s="62"/>
      <c r="AZ76" s="62"/>
      <c r="BA76" s="62"/>
      <c r="BB76" s="62"/>
      <c r="BC76" s="62"/>
      <c r="BD76" s="62"/>
      <c r="BE76" s="62"/>
      <c r="BF76" s="62"/>
      <c r="BG76" s="62"/>
      <c r="BH76" s="62"/>
      <c r="BI76" s="62"/>
      <c r="BJ76" s="62"/>
      <c r="BK76" s="62"/>
      <c r="BL76" s="62"/>
      <c r="BM76" s="62"/>
      <c r="BN76" s="62"/>
      <c r="BO76" s="62"/>
      <c r="BP76" s="62"/>
      <c r="BQ76" s="62"/>
      <c r="BR76" s="62"/>
      <c r="BS76" s="62"/>
      <c r="BT76" s="62"/>
      <c r="BU76" s="62"/>
      <c r="BV76" s="62"/>
      <c r="BW76" s="62"/>
      <c r="BX76" s="62"/>
      <c r="BY76" s="62"/>
      <c r="BZ76" s="62"/>
      <c r="CA76" s="62"/>
      <c r="CB76" s="62"/>
      <c r="EU76" s="30"/>
      <c r="EV76" s="30"/>
      <c r="EW76" s="30"/>
    </row>
    <row r="77" spans="1:153" ht="15" customHeight="1" x14ac:dyDescent="0.3">
      <c r="A77" s="47" t="s">
        <v>69</v>
      </c>
      <c r="B77" s="62"/>
      <c r="C77" s="62"/>
      <c r="D77" s="62"/>
      <c r="E77" s="62"/>
      <c r="F77" s="62"/>
      <c r="G77" s="62"/>
      <c r="H77" s="62"/>
      <c r="I77" s="62"/>
      <c r="J77" s="62"/>
      <c r="K77" s="62"/>
      <c r="L77" s="62"/>
      <c r="M77" s="62"/>
      <c r="N77" s="62"/>
      <c r="O77" s="62"/>
      <c r="P77" s="62"/>
      <c r="Q77" s="62"/>
      <c r="R77" s="62"/>
      <c r="S77" s="62"/>
      <c r="T77" s="62"/>
      <c r="U77" s="62"/>
      <c r="V77" s="62"/>
      <c r="W77" s="62"/>
      <c r="X77" s="62"/>
      <c r="Y77" s="62"/>
      <c r="Z77" s="62"/>
      <c r="AA77" s="62"/>
      <c r="AB77" s="62"/>
      <c r="AC77" s="62"/>
      <c r="AD77" s="62"/>
      <c r="AE77" s="62"/>
      <c r="AF77" s="62"/>
      <c r="AG77" s="62"/>
      <c r="AH77" s="62"/>
      <c r="AI77" s="62"/>
      <c r="AJ77" s="62"/>
      <c r="AK77" s="62"/>
      <c r="AL77" s="62"/>
      <c r="AM77" s="62"/>
      <c r="AN77" s="62"/>
      <c r="AO77" s="62"/>
      <c r="AP77" s="62"/>
      <c r="AQ77" s="62"/>
      <c r="AR77" s="62"/>
      <c r="AS77" s="62"/>
      <c r="AT77" s="62"/>
      <c r="AU77" s="62"/>
      <c r="AV77" s="62"/>
      <c r="AW77" s="62"/>
      <c r="AX77" s="62"/>
      <c r="AY77" s="62"/>
      <c r="AZ77" s="62"/>
      <c r="BA77" s="62"/>
      <c r="BB77" s="62"/>
      <c r="BC77" s="62"/>
      <c r="BD77" s="62"/>
      <c r="BE77" s="62"/>
      <c r="BF77" s="62"/>
      <c r="BG77" s="62"/>
      <c r="BH77" s="62"/>
      <c r="BI77" s="62"/>
      <c r="BJ77" s="62"/>
      <c r="BK77" s="62"/>
      <c r="BL77" s="62"/>
      <c r="BM77" s="62"/>
      <c r="BN77" s="62"/>
      <c r="BO77" s="62"/>
      <c r="BP77" s="62"/>
      <c r="BQ77" s="62"/>
      <c r="BR77" s="62"/>
      <c r="BS77" s="62"/>
      <c r="BT77" s="62"/>
      <c r="BU77" s="62"/>
      <c r="BV77" s="62"/>
      <c r="BW77" s="62"/>
      <c r="BX77" s="62"/>
      <c r="BY77" s="62"/>
      <c r="BZ77" s="62"/>
      <c r="CA77" s="62"/>
      <c r="CB77" s="62"/>
      <c r="EU77" s="30"/>
      <c r="EV77" s="30"/>
      <c r="EW77" s="30"/>
    </row>
    <row r="78" spans="1:153" ht="15" customHeight="1" x14ac:dyDescent="0.25">
      <c r="A78" s="52" t="s">
        <v>65</v>
      </c>
      <c r="B78" s="62"/>
      <c r="C78" s="56" t="s">
        <v>40</v>
      </c>
      <c r="D78" s="56"/>
      <c r="E78" s="56" t="s">
        <v>40</v>
      </c>
      <c r="F78" s="62"/>
      <c r="G78" s="62"/>
      <c r="H78" s="62"/>
      <c r="I78" s="62"/>
      <c r="J78" s="62"/>
      <c r="K78" s="62"/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2"/>
      <c r="AA78" s="62"/>
      <c r="AB78" s="62"/>
      <c r="AC78" s="62"/>
      <c r="AD78" s="62"/>
      <c r="AE78" s="62"/>
      <c r="AF78" s="62"/>
      <c r="AG78" s="62"/>
      <c r="AH78" s="62"/>
      <c r="AI78" s="62"/>
      <c r="AJ78" s="62"/>
      <c r="AK78" s="62"/>
      <c r="AL78" s="62"/>
      <c r="AM78" s="62"/>
      <c r="AN78" s="62"/>
      <c r="AO78" s="62"/>
      <c r="AP78" s="62"/>
      <c r="AQ78" s="62"/>
      <c r="AR78" s="62"/>
      <c r="AS78" s="62"/>
      <c r="AT78" s="62"/>
      <c r="AU78" s="62"/>
      <c r="AV78" s="62"/>
      <c r="AW78" s="62"/>
      <c r="AX78" s="62"/>
      <c r="AY78" s="62"/>
      <c r="AZ78" s="62"/>
      <c r="BA78" s="62"/>
      <c r="BB78" s="62"/>
      <c r="BC78" s="62"/>
      <c r="BD78" s="62"/>
      <c r="BE78" s="62"/>
      <c r="BF78" s="62"/>
      <c r="BG78" s="62"/>
      <c r="BH78" s="62"/>
      <c r="BI78" s="62"/>
      <c r="BJ78" s="62"/>
      <c r="BK78" s="62"/>
      <c r="BL78" s="62"/>
      <c r="BM78" s="62"/>
      <c r="BN78" s="62"/>
      <c r="BO78" s="62"/>
      <c r="BP78" s="62"/>
      <c r="BQ78" s="62"/>
      <c r="BR78" s="62"/>
      <c r="BS78" s="62"/>
      <c r="BT78" s="62"/>
      <c r="BU78" s="62"/>
      <c r="BV78" s="62"/>
      <c r="BW78" s="62"/>
      <c r="BX78" s="62"/>
      <c r="BY78" s="62"/>
      <c r="BZ78" s="62"/>
      <c r="CA78" s="62"/>
      <c r="CB78" s="62"/>
      <c r="EU78" s="30"/>
      <c r="EV78" s="30"/>
      <c r="EW78" s="30"/>
    </row>
    <row r="79" spans="1:153" ht="15" customHeight="1" x14ac:dyDescent="0.25">
      <c r="A79" s="52" t="s">
        <v>66</v>
      </c>
      <c r="B79" s="62"/>
      <c r="C79" s="56"/>
      <c r="D79" s="56" t="s">
        <v>40</v>
      </c>
      <c r="E79" s="56"/>
      <c r="F79" s="62"/>
      <c r="G79" s="62"/>
      <c r="H79" s="62"/>
      <c r="I79" s="62"/>
      <c r="J79" s="62"/>
      <c r="K79" s="62"/>
      <c r="L79" s="62"/>
      <c r="M79" s="62"/>
      <c r="N79" s="62"/>
      <c r="O79" s="62"/>
      <c r="P79" s="62"/>
      <c r="Q79" s="62"/>
      <c r="R79" s="62"/>
      <c r="S79" s="62"/>
      <c r="T79" s="62"/>
      <c r="U79" s="62"/>
      <c r="V79" s="62"/>
      <c r="W79" s="62"/>
      <c r="X79" s="62"/>
      <c r="Y79" s="62"/>
      <c r="Z79" s="62"/>
      <c r="AA79" s="62"/>
      <c r="AB79" s="62"/>
      <c r="AC79" s="62"/>
      <c r="AD79" s="62"/>
      <c r="AE79" s="62"/>
      <c r="AF79" s="62"/>
      <c r="AG79" s="62"/>
      <c r="AH79" s="62"/>
      <c r="AI79" s="62"/>
      <c r="AJ79" s="62"/>
      <c r="AK79" s="62"/>
      <c r="AL79" s="62"/>
      <c r="AM79" s="62"/>
      <c r="AN79" s="62"/>
      <c r="AO79" s="62"/>
      <c r="AP79" s="62"/>
      <c r="AQ79" s="62"/>
      <c r="AR79" s="62"/>
      <c r="AS79" s="62"/>
      <c r="AT79" s="62"/>
      <c r="AU79" s="62"/>
      <c r="AV79" s="62"/>
      <c r="AW79" s="62"/>
      <c r="AX79" s="62"/>
      <c r="AY79" s="62"/>
      <c r="AZ79" s="62"/>
      <c r="BA79" s="62"/>
      <c r="BB79" s="62"/>
      <c r="BC79" s="62"/>
      <c r="BD79" s="62"/>
      <c r="BE79" s="62"/>
      <c r="BF79" s="62"/>
      <c r="BG79" s="62"/>
      <c r="BH79" s="62"/>
      <c r="BI79" s="62"/>
      <c r="BJ79" s="62"/>
      <c r="BK79" s="62"/>
      <c r="BL79" s="62"/>
      <c r="BM79" s="62"/>
      <c r="BN79" s="62"/>
      <c r="BO79" s="62"/>
      <c r="BP79" s="62"/>
      <c r="BQ79" s="62"/>
      <c r="BR79" s="62"/>
      <c r="BS79" s="62"/>
      <c r="BT79" s="62"/>
      <c r="BU79" s="62"/>
      <c r="BV79" s="62"/>
      <c r="BW79" s="62"/>
      <c r="BX79" s="62"/>
      <c r="BY79" s="62"/>
      <c r="BZ79" s="62"/>
      <c r="CA79" s="62"/>
      <c r="CB79" s="62"/>
      <c r="EU79" s="30"/>
      <c r="EV79" s="30"/>
      <c r="EW79" s="30"/>
    </row>
    <row r="80" spans="1:153" ht="15" customHeight="1" x14ac:dyDescent="0.3">
      <c r="A80" s="47" t="s">
        <v>77</v>
      </c>
      <c r="B80" s="62"/>
      <c r="C80" s="62"/>
      <c r="D80" s="62"/>
      <c r="E80" s="62"/>
      <c r="F80" s="62"/>
      <c r="G80" s="62"/>
      <c r="H80" s="62"/>
      <c r="I80" s="62"/>
      <c r="J80" s="62"/>
      <c r="K80" s="62"/>
      <c r="L80" s="62"/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2"/>
      <c r="X80" s="62"/>
      <c r="Y80" s="62"/>
      <c r="Z80" s="62"/>
      <c r="AA80" s="62"/>
      <c r="AB80" s="62"/>
      <c r="AC80" s="62"/>
      <c r="AD80" s="62"/>
      <c r="AE80" s="62"/>
      <c r="AF80" s="62"/>
      <c r="AG80" s="62"/>
      <c r="AH80" s="62"/>
      <c r="AI80" s="62"/>
      <c r="AJ80" s="62"/>
      <c r="AK80" s="62"/>
      <c r="AL80" s="62"/>
      <c r="AM80" s="62"/>
      <c r="AN80" s="62"/>
      <c r="AO80" s="62"/>
      <c r="AP80" s="62"/>
      <c r="AQ80" s="62"/>
      <c r="AR80" s="62"/>
      <c r="AS80" s="62"/>
      <c r="AT80" s="62"/>
      <c r="AU80" s="62"/>
      <c r="AV80" s="62"/>
      <c r="AW80" s="62"/>
      <c r="AX80" s="62"/>
      <c r="AY80" s="62"/>
      <c r="AZ80" s="62"/>
      <c r="BA80" s="62"/>
      <c r="BB80" s="62"/>
      <c r="BC80" s="62"/>
      <c r="BD80" s="62"/>
      <c r="BE80" s="62"/>
      <c r="BF80" s="62"/>
      <c r="BG80" s="62"/>
      <c r="BH80" s="62"/>
      <c r="BI80" s="62"/>
      <c r="BJ80" s="62"/>
      <c r="BK80" s="62"/>
      <c r="BL80" s="62"/>
      <c r="BM80" s="62"/>
      <c r="BN80" s="62"/>
      <c r="BO80" s="62"/>
      <c r="BP80" s="62"/>
      <c r="BQ80" s="62"/>
      <c r="BR80" s="62"/>
      <c r="BS80" s="62"/>
      <c r="BT80" s="62"/>
      <c r="BU80" s="62"/>
      <c r="BV80" s="62"/>
      <c r="BW80" s="62"/>
      <c r="BX80" s="62"/>
      <c r="BY80" s="62"/>
      <c r="BZ80" s="62"/>
      <c r="CA80" s="62"/>
      <c r="CB80" s="62"/>
      <c r="EU80" s="30"/>
      <c r="EV80" s="30"/>
      <c r="EW80" s="30"/>
    </row>
    <row r="81" spans="1:153" ht="15" customHeight="1" x14ac:dyDescent="0.3">
      <c r="A81" s="47" t="s">
        <v>95</v>
      </c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  <c r="Z81" s="62"/>
      <c r="AA81" s="62"/>
      <c r="AB81" s="62"/>
      <c r="AC81" s="62"/>
      <c r="AD81" s="62"/>
      <c r="AE81" s="62"/>
      <c r="AF81" s="62"/>
      <c r="AG81" s="62"/>
      <c r="AH81" s="62"/>
      <c r="AI81" s="62"/>
      <c r="AJ81" s="62"/>
      <c r="AK81" s="62"/>
      <c r="AL81" s="62"/>
      <c r="AM81" s="62"/>
      <c r="AN81" s="62"/>
      <c r="AO81" s="62"/>
      <c r="AP81" s="62"/>
      <c r="AQ81" s="62"/>
      <c r="AR81" s="62"/>
      <c r="AS81" s="62"/>
      <c r="AT81" s="62"/>
      <c r="AU81" s="62"/>
      <c r="AV81" s="62"/>
      <c r="AW81" s="62"/>
      <c r="AX81" s="62"/>
      <c r="AY81" s="62"/>
      <c r="AZ81" s="62"/>
      <c r="BA81" s="62"/>
      <c r="BB81" s="62"/>
      <c r="BC81" s="62"/>
      <c r="BD81" s="62"/>
      <c r="BE81" s="62"/>
      <c r="BF81" s="62"/>
      <c r="BG81" s="62"/>
      <c r="BH81" s="62"/>
      <c r="BI81" s="62"/>
      <c r="BJ81" s="62"/>
      <c r="BK81" s="62"/>
      <c r="BL81" s="62"/>
      <c r="BM81" s="62"/>
      <c r="BN81" s="62"/>
      <c r="BO81" s="62"/>
      <c r="BP81" s="62"/>
      <c r="BQ81" s="62"/>
      <c r="BR81" s="62"/>
      <c r="BS81" s="62"/>
      <c r="BT81" s="62"/>
      <c r="BU81" s="62"/>
      <c r="BV81" s="62"/>
      <c r="BW81" s="62"/>
      <c r="BX81" s="62"/>
      <c r="BY81" s="62"/>
      <c r="BZ81" s="62"/>
      <c r="CA81" s="62"/>
      <c r="CB81" s="62"/>
      <c r="EU81" s="30"/>
      <c r="EV81" s="30"/>
      <c r="EW81" s="30"/>
    </row>
    <row r="82" spans="1:153" ht="15" customHeight="1" x14ac:dyDescent="0.25">
      <c r="A82" s="52" t="s">
        <v>96</v>
      </c>
      <c r="B82" s="62"/>
      <c r="C82" s="56" t="s">
        <v>40</v>
      </c>
      <c r="D82" s="56" t="s">
        <v>40</v>
      </c>
      <c r="E82" s="56"/>
      <c r="F82" s="62"/>
      <c r="G82" s="62"/>
      <c r="H82" s="62"/>
      <c r="I82" s="62"/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  <c r="AA82" s="62"/>
      <c r="AB82" s="62"/>
      <c r="AC82" s="62"/>
      <c r="AD82" s="62"/>
      <c r="AE82" s="62"/>
      <c r="AF82" s="62"/>
      <c r="AG82" s="62"/>
      <c r="AH82" s="62"/>
      <c r="AI82" s="62"/>
      <c r="AJ82" s="62"/>
      <c r="AK82" s="62"/>
      <c r="AL82" s="62"/>
      <c r="AM82" s="62"/>
      <c r="AN82" s="62"/>
      <c r="AO82" s="62"/>
      <c r="AP82" s="62"/>
      <c r="AQ82" s="62"/>
      <c r="AR82" s="62"/>
      <c r="AS82" s="62"/>
      <c r="AT82" s="62"/>
      <c r="AU82" s="62"/>
      <c r="AV82" s="62"/>
      <c r="AW82" s="62"/>
      <c r="AX82" s="62"/>
      <c r="AY82" s="62"/>
      <c r="AZ82" s="62"/>
      <c r="BA82" s="62"/>
      <c r="BB82" s="62"/>
      <c r="BC82" s="62"/>
      <c r="BD82" s="62"/>
      <c r="BE82" s="62"/>
      <c r="BF82" s="62"/>
      <c r="BG82" s="62"/>
      <c r="BH82" s="62"/>
      <c r="BI82" s="62"/>
      <c r="BJ82" s="62"/>
      <c r="BK82" s="62"/>
      <c r="BL82" s="62"/>
      <c r="BM82" s="62"/>
      <c r="BN82" s="62"/>
      <c r="BO82" s="62"/>
      <c r="BP82" s="62"/>
      <c r="BQ82" s="62"/>
      <c r="BR82" s="62"/>
      <c r="BS82" s="62"/>
      <c r="BT82" s="62"/>
      <c r="BU82" s="62"/>
      <c r="BV82" s="62"/>
      <c r="BW82" s="62"/>
      <c r="BX82" s="62"/>
      <c r="BY82" s="62"/>
      <c r="BZ82" s="62"/>
      <c r="CA82" s="62"/>
      <c r="CB82" s="62"/>
      <c r="EU82" s="30"/>
      <c r="EV82" s="30"/>
      <c r="EW82" s="30"/>
    </row>
    <row r="83" spans="1:153" ht="15" customHeight="1" x14ac:dyDescent="0.25">
      <c r="A83" s="61" t="s">
        <v>97</v>
      </c>
      <c r="B83" s="62"/>
      <c r="C83" s="56"/>
      <c r="D83" s="56"/>
      <c r="E83" s="56" t="s">
        <v>40</v>
      </c>
      <c r="F83" s="62"/>
      <c r="G83" s="62"/>
      <c r="H83" s="62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  <c r="AA83" s="62"/>
      <c r="AB83" s="62"/>
      <c r="AC83" s="62"/>
      <c r="AD83" s="62"/>
      <c r="AE83" s="62"/>
      <c r="AF83" s="62"/>
      <c r="AG83" s="62"/>
      <c r="AH83" s="62"/>
      <c r="AI83" s="62"/>
      <c r="AJ83" s="62"/>
      <c r="AK83" s="62"/>
      <c r="AL83" s="62"/>
      <c r="AM83" s="62"/>
      <c r="AN83" s="62"/>
      <c r="AO83" s="62"/>
      <c r="AP83" s="62"/>
      <c r="AQ83" s="62"/>
      <c r="AR83" s="62"/>
      <c r="AS83" s="62"/>
      <c r="AT83" s="62"/>
      <c r="AU83" s="62"/>
      <c r="AV83" s="62"/>
      <c r="AW83" s="62"/>
      <c r="AX83" s="62"/>
      <c r="AY83" s="62"/>
      <c r="AZ83" s="62"/>
      <c r="BA83" s="62"/>
      <c r="BB83" s="62"/>
      <c r="BC83" s="62"/>
      <c r="BD83" s="62"/>
      <c r="BE83" s="62"/>
      <c r="BF83" s="62"/>
      <c r="BG83" s="62"/>
      <c r="BH83" s="62"/>
      <c r="BI83" s="62"/>
      <c r="BJ83" s="62"/>
      <c r="BK83" s="62"/>
      <c r="BL83" s="62"/>
      <c r="BM83" s="62"/>
      <c r="BN83" s="62"/>
      <c r="BO83" s="62"/>
      <c r="BP83" s="62"/>
      <c r="BQ83" s="62"/>
      <c r="BR83" s="62"/>
      <c r="BS83" s="62"/>
      <c r="BT83" s="62"/>
      <c r="BU83" s="62"/>
      <c r="BV83" s="62"/>
      <c r="BW83" s="62"/>
      <c r="BX83" s="62"/>
      <c r="BY83" s="62"/>
      <c r="BZ83" s="62"/>
      <c r="CA83" s="62"/>
      <c r="CB83" s="62"/>
      <c r="EU83" s="30"/>
      <c r="EV83" s="30"/>
      <c r="EW83" s="30"/>
    </row>
    <row r="84" spans="1:153" ht="15" customHeight="1" x14ac:dyDescent="0.3">
      <c r="A84" s="47" t="s">
        <v>98</v>
      </c>
      <c r="B84" s="62"/>
      <c r="C84" s="62"/>
      <c r="D84" s="62"/>
      <c r="E84" s="62"/>
      <c r="F84" s="62"/>
      <c r="G84" s="62"/>
      <c r="H84" s="62"/>
      <c r="I84" s="62"/>
      <c r="J84" s="62"/>
      <c r="K84" s="62"/>
      <c r="L84" s="62"/>
      <c r="M84" s="62"/>
      <c r="N84" s="62"/>
      <c r="O84" s="62"/>
      <c r="P84" s="62"/>
      <c r="Q84" s="62"/>
      <c r="R84" s="62"/>
      <c r="S84" s="62"/>
      <c r="T84" s="62"/>
      <c r="U84" s="62"/>
      <c r="V84" s="62"/>
      <c r="W84" s="62"/>
      <c r="X84" s="62"/>
      <c r="Y84" s="62"/>
      <c r="Z84" s="62"/>
      <c r="AA84" s="62"/>
      <c r="AB84" s="62"/>
      <c r="AC84" s="62"/>
      <c r="AD84" s="62"/>
      <c r="AE84" s="62"/>
      <c r="AF84" s="62"/>
      <c r="AG84" s="62"/>
      <c r="AH84" s="62"/>
      <c r="AI84" s="62"/>
      <c r="AJ84" s="62"/>
      <c r="AK84" s="62"/>
      <c r="AL84" s="62"/>
      <c r="AM84" s="62"/>
      <c r="AN84" s="62"/>
      <c r="AO84" s="62"/>
      <c r="AP84" s="62"/>
      <c r="AQ84" s="62"/>
      <c r="AR84" s="62"/>
      <c r="AS84" s="62"/>
      <c r="AT84" s="62"/>
      <c r="AU84" s="62"/>
      <c r="AV84" s="62"/>
      <c r="AW84" s="62"/>
      <c r="AX84" s="62"/>
      <c r="AY84" s="62"/>
      <c r="AZ84" s="62"/>
      <c r="BA84" s="62"/>
      <c r="BB84" s="62"/>
      <c r="BC84" s="62"/>
      <c r="BD84" s="62"/>
      <c r="BE84" s="62"/>
      <c r="BF84" s="62"/>
      <c r="BG84" s="62"/>
      <c r="BH84" s="62"/>
      <c r="BI84" s="62"/>
      <c r="BJ84" s="62"/>
      <c r="BK84" s="62"/>
      <c r="BL84" s="62"/>
      <c r="BM84" s="62"/>
      <c r="BN84" s="62"/>
      <c r="BO84" s="62"/>
      <c r="BP84" s="62"/>
      <c r="BQ84" s="62"/>
      <c r="BR84" s="62"/>
      <c r="BS84" s="62"/>
      <c r="BT84" s="62"/>
      <c r="BU84" s="62"/>
      <c r="BV84" s="62"/>
      <c r="BW84" s="62"/>
      <c r="BX84" s="62"/>
      <c r="BY84" s="62"/>
      <c r="BZ84" s="62"/>
      <c r="CA84" s="62"/>
      <c r="CB84" s="62"/>
      <c r="EU84" s="30"/>
      <c r="EV84" s="30"/>
      <c r="EW84" s="30"/>
    </row>
    <row r="85" spans="1:153" ht="15" customHeight="1" x14ac:dyDescent="0.25">
      <c r="A85" s="52" t="s">
        <v>96</v>
      </c>
      <c r="B85" s="62"/>
      <c r="C85" s="56" t="s">
        <v>40</v>
      </c>
      <c r="D85" s="56" t="s">
        <v>40</v>
      </c>
      <c r="E85" s="56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  <c r="AA85" s="62"/>
      <c r="AB85" s="62"/>
      <c r="AC85" s="62"/>
      <c r="AD85" s="62"/>
      <c r="AE85" s="62"/>
      <c r="AF85" s="62"/>
      <c r="AG85" s="62"/>
      <c r="AH85" s="62"/>
      <c r="AI85" s="62"/>
      <c r="AJ85" s="62"/>
      <c r="AK85" s="62"/>
      <c r="AL85" s="62"/>
      <c r="AM85" s="62"/>
      <c r="AN85" s="62"/>
      <c r="AO85" s="62"/>
      <c r="AP85" s="62"/>
      <c r="AQ85" s="62"/>
      <c r="AR85" s="62"/>
      <c r="AS85" s="62"/>
      <c r="AT85" s="62"/>
      <c r="AU85" s="62"/>
      <c r="AV85" s="62"/>
      <c r="AW85" s="62"/>
      <c r="AX85" s="62"/>
      <c r="AY85" s="62"/>
      <c r="AZ85" s="62"/>
      <c r="BA85" s="62"/>
      <c r="BB85" s="62"/>
      <c r="BC85" s="62"/>
      <c r="BD85" s="62"/>
      <c r="BE85" s="62"/>
      <c r="BF85" s="62"/>
      <c r="BG85" s="62"/>
      <c r="BH85" s="62"/>
      <c r="BI85" s="62"/>
      <c r="BJ85" s="62"/>
      <c r="BK85" s="62"/>
      <c r="BL85" s="62"/>
      <c r="BM85" s="62"/>
      <c r="BN85" s="62"/>
      <c r="BO85" s="62"/>
      <c r="BP85" s="62"/>
      <c r="BQ85" s="62"/>
      <c r="BR85" s="62"/>
      <c r="BS85" s="62"/>
      <c r="BT85" s="62"/>
      <c r="BU85" s="62"/>
      <c r="BV85" s="62"/>
      <c r="BW85" s="62"/>
      <c r="BX85" s="62"/>
      <c r="BY85" s="62"/>
      <c r="BZ85" s="62"/>
      <c r="CA85" s="62"/>
      <c r="CB85" s="62"/>
      <c r="EU85" s="30"/>
      <c r="EV85" s="30"/>
      <c r="EW85" s="30"/>
    </row>
    <row r="86" spans="1:153" ht="15" customHeight="1" x14ac:dyDescent="0.25">
      <c r="A86" s="61" t="s">
        <v>97</v>
      </c>
      <c r="B86" s="62"/>
      <c r="C86" s="56"/>
      <c r="D86" s="56"/>
      <c r="E86" s="56" t="s">
        <v>40</v>
      </c>
      <c r="F86" s="62"/>
      <c r="G86" s="62"/>
      <c r="H86" s="62"/>
      <c r="I86" s="62"/>
      <c r="J86" s="62"/>
      <c r="K86" s="62"/>
      <c r="L86" s="62"/>
      <c r="M86" s="62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  <c r="AA86" s="62"/>
      <c r="AB86" s="62"/>
      <c r="AC86" s="62"/>
      <c r="AD86" s="62"/>
      <c r="AE86" s="62"/>
      <c r="AF86" s="62"/>
      <c r="AG86" s="62"/>
      <c r="AH86" s="62"/>
      <c r="AI86" s="62"/>
      <c r="AJ86" s="62"/>
      <c r="AK86" s="62"/>
      <c r="AL86" s="62"/>
      <c r="AM86" s="62"/>
      <c r="AN86" s="62"/>
      <c r="AO86" s="62"/>
      <c r="AP86" s="62"/>
      <c r="AQ86" s="62"/>
      <c r="AR86" s="62"/>
      <c r="AS86" s="62"/>
      <c r="AT86" s="62"/>
      <c r="AU86" s="62"/>
      <c r="AV86" s="62"/>
      <c r="AW86" s="62"/>
      <c r="AX86" s="62"/>
      <c r="AY86" s="62"/>
      <c r="AZ86" s="62"/>
      <c r="BA86" s="62"/>
      <c r="BB86" s="62"/>
      <c r="BC86" s="62"/>
      <c r="BD86" s="62"/>
      <c r="BE86" s="62"/>
      <c r="BF86" s="62"/>
      <c r="BG86" s="62"/>
      <c r="BH86" s="62"/>
      <c r="BI86" s="62"/>
      <c r="BJ86" s="62"/>
      <c r="BK86" s="62"/>
      <c r="BL86" s="62"/>
      <c r="BM86" s="62"/>
      <c r="BN86" s="62"/>
      <c r="BO86" s="62"/>
      <c r="BP86" s="62"/>
      <c r="BQ86" s="62"/>
      <c r="BR86" s="62"/>
      <c r="BS86" s="62"/>
      <c r="BT86" s="62"/>
      <c r="BU86" s="62"/>
      <c r="BV86" s="62"/>
      <c r="BW86" s="62"/>
      <c r="BX86" s="62"/>
      <c r="BY86" s="62"/>
      <c r="BZ86" s="62"/>
      <c r="CA86" s="62"/>
      <c r="CB86" s="62"/>
      <c r="EU86" s="30"/>
      <c r="EV86" s="30"/>
      <c r="EW86" s="30"/>
    </row>
    <row r="87" spans="1:153" ht="15" customHeight="1" x14ac:dyDescent="0.3">
      <c r="A87" s="47" t="s">
        <v>99</v>
      </c>
      <c r="B87" s="62"/>
      <c r="C87" s="62"/>
      <c r="D87" s="62"/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  <c r="AA87" s="62"/>
      <c r="AB87" s="62"/>
      <c r="AC87" s="62"/>
      <c r="AD87" s="62"/>
      <c r="AE87" s="62"/>
      <c r="AF87" s="62"/>
      <c r="AG87" s="62"/>
      <c r="AH87" s="62"/>
      <c r="AI87" s="62"/>
      <c r="AJ87" s="62"/>
      <c r="AK87" s="62"/>
      <c r="AL87" s="62"/>
      <c r="AM87" s="62"/>
      <c r="AN87" s="62"/>
      <c r="AO87" s="62"/>
      <c r="AP87" s="62"/>
      <c r="AQ87" s="62"/>
      <c r="AR87" s="62"/>
      <c r="AS87" s="62"/>
      <c r="AT87" s="62"/>
      <c r="AU87" s="62"/>
      <c r="AV87" s="62"/>
      <c r="AW87" s="62"/>
      <c r="AX87" s="62"/>
      <c r="AY87" s="62"/>
      <c r="AZ87" s="62"/>
      <c r="BA87" s="62"/>
      <c r="BB87" s="62"/>
      <c r="BC87" s="62"/>
      <c r="BD87" s="62"/>
      <c r="BE87" s="62"/>
      <c r="BF87" s="62"/>
      <c r="BG87" s="62"/>
      <c r="BH87" s="62"/>
      <c r="BI87" s="62"/>
      <c r="BJ87" s="62"/>
      <c r="BK87" s="62"/>
      <c r="BL87" s="62"/>
      <c r="BM87" s="62"/>
      <c r="BN87" s="62"/>
      <c r="BO87" s="62"/>
      <c r="BP87" s="62"/>
      <c r="BQ87" s="62"/>
      <c r="BR87" s="62"/>
      <c r="BS87" s="62"/>
      <c r="BT87" s="62"/>
      <c r="BU87" s="62"/>
      <c r="BV87" s="62"/>
      <c r="BW87" s="62"/>
      <c r="BX87" s="62"/>
      <c r="BY87" s="62"/>
      <c r="BZ87" s="62"/>
      <c r="CA87" s="62"/>
      <c r="CB87" s="62"/>
      <c r="EU87" s="30"/>
      <c r="EV87" s="30"/>
      <c r="EW87" s="30"/>
    </row>
    <row r="88" spans="1:153" ht="15" customHeight="1" x14ac:dyDescent="0.25">
      <c r="A88" s="52" t="s">
        <v>96</v>
      </c>
      <c r="B88" s="62"/>
      <c r="C88" s="56" t="s">
        <v>40</v>
      </c>
      <c r="D88" s="56" t="s">
        <v>40</v>
      </c>
      <c r="E88" s="56"/>
      <c r="F88" s="62"/>
      <c r="G88" s="62"/>
      <c r="H88" s="62"/>
      <c r="I88" s="62"/>
      <c r="J88" s="62"/>
      <c r="K88" s="62"/>
      <c r="L88" s="62"/>
      <c r="M88" s="62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  <c r="AA88" s="62"/>
      <c r="AB88" s="62"/>
      <c r="AC88" s="62"/>
      <c r="AD88" s="62"/>
      <c r="AE88" s="62"/>
      <c r="AF88" s="62"/>
      <c r="AG88" s="62"/>
      <c r="AH88" s="62"/>
      <c r="AI88" s="62"/>
      <c r="AJ88" s="62"/>
      <c r="AK88" s="62"/>
      <c r="AL88" s="62"/>
      <c r="AM88" s="62"/>
      <c r="AN88" s="62"/>
      <c r="AO88" s="62"/>
      <c r="AP88" s="62"/>
      <c r="AQ88" s="62"/>
      <c r="AR88" s="62"/>
      <c r="AS88" s="62"/>
      <c r="AT88" s="62"/>
      <c r="AU88" s="62"/>
      <c r="AV88" s="62"/>
      <c r="AW88" s="62"/>
      <c r="AX88" s="62"/>
      <c r="AY88" s="62"/>
      <c r="AZ88" s="62"/>
      <c r="BA88" s="62"/>
      <c r="BB88" s="62"/>
      <c r="BC88" s="62"/>
      <c r="BD88" s="62"/>
      <c r="BE88" s="62"/>
      <c r="BF88" s="62"/>
      <c r="BG88" s="62"/>
      <c r="BH88" s="62"/>
      <c r="BI88" s="62"/>
      <c r="BJ88" s="62"/>
      <c r="BK88" s="62"/>
      <c r="BL88" s="62"/>
      <c r="BM88" s="62"/>
      <c r="BN88" s="62"/>
      <c r="BO88" s="62"/>
      <c r="BP88" s="62"/>
      <c r="BQ88" s="62"/>
      <c r="BR88" s="62"/>
      <c r="BS88" s="62"/>
      <c r="BT88" s="62"/>
      <c r="BU88" s="62"/>
      <c r="BV88" s="62"/>
      <c r="BW88" s="62"/>
      <c r="BX88" s="62"/>
      <c r="BY88" s="62"/>
      <c r="BZ88" s="62"/>
      <c r="CA88" s="62"/>
      <c r="CB88" s="62"/>
      <c r="EU88" s="30"/>
      <c r="EV88" s="30"/>
      <c r="EW88" s="30"/>
    </row>
    <row r="89" spans="1:153" ht="15" customHeight="1" x14ac:dyDescent="0.25">
      <c r="A89" s="61" t="s">
        <v>97</v>
      </c>
      <c r="B89" s="62"/>
      <c r="C89" s="56"/>
      <c r="D89" s="56"/>
      <c r="E89" s="56" t="s">
        <v>40</v>
      </c>
      <c r="F89" s="62"/>
      <c r="G89" s="62"/>
      <c r="H89" s="62"/>
      <c r="I89" s="62"/>
      <c r="J89" s="62"/>
      <c r="K89" s="62"/>
      <c r="L89" s="62"/>
      <c r="M89" s="62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  <c r="AA89" s="62"/>
      <c r="AB89" s="62"/>
      <c r="AC89" s="62"/>
      <c r="AD89" s="62"/>
      <c r="AE89" s="62"/>
      <c r="AF89" s="62"/>
      <c r="AG89" s="62"/>
      <c r="AH89" s="62"/>
      <c r="AI89" s="62"/>
      <c r="AJ89" s="62"/>
      <c r="AK89" s="62"/>
      <c r="AL89" s="62"/>
      <c r="AM89" s="62"/>
      <c r="AN89" s="62"/>
      <c r="AO89" s="62"/>
      <c r="AP89" s="62"/>
      <c r="AQ89" s="62"/>
      <c r="AR89" s="62"/>
      <c r="AS89" s="62"/>
      <c r="AT89" s="62"/>
      <c r="AU89" s="62"/>
      <c r="AV89" s="62"/>
      <c r="AW89" s="62"/>
      <c r="AX89" s="62"/>
      <c r="AY89" s="62"/>
      <c r="AZ89" s="62"/>
      <c r="BA89" s="62"/>
      <c r="BB89" s="62"/>
      <c r="BC89" s="62"/>
      <c r="BD89" s="62"/>
      <c r="BE89" s="62"/>
      <c r="BF89" s="62"/>
      <c r="BG89" s="62"/>
      <c r="BH89" s="62"/>
      <c r="BI89" s="62"/>
      <c r="BJ89" s="62"/>
      <c r="BK89" s="62"/>
      <c r="BL89" s="62"/>
      <c r="BM89" s="62"/>
      <c r="BN89" s="62"/>
      <c r="BO89" s="62"/>
      <c r="BP89" s="62"/>
      <c r="BQ89" s="62"/>
      <c r="BR89" s="62"/>
      <c r="BS89" s="62"/>
      <c r="BT89" s="62"/>
      <c r="BU89" s="62"/>
      <c r="BV89" s="62"/>
      <c r="BW89" s="62"/>
      <c r="BX89" s="62"/>
      <c r="BY89" s="62"/>
      <c r="BZ89" s="62"/>
      <c r="CA89" s="62"/>
      <c r="CB89" s="62"/>
      <c r="EU89" s="30"/>
      <c r="EV89" s="30"/>
      <c r="EW89" s="30"/>
    </row>
    <row r="90" spans="1:153" ht="15" x14ac:dyDescent="0.3">
      <c r="A90" s="47" t="s">
        <v>100</v>
      </c>
      <c r="C90" s="62"/>
    </row>
    <row r="91" spans="1:153" ht="15" customHeight="1" x14ac:dyDescent="0.25">
      <c r="A91" s="52" t="s">
        <v>65</v>
      </c>
      <c r="B91" s="62"/>
      <c r="C91" s="56" t="s">
        <v>40</v>
      </c>
      <c r="D91" s="56"/>
      <c r="E91" s="56"/>
      <c r="F91" s="62"/>
      <c r="G91" s="62"/>
      <c r="H91" s="62"/>
      <c r="I91" s="62"/>
      <c r="J91" s="62"/>
      <c r="K91" s="62"/>
      <c r="L91" s="62"/>
      <c r="M91" s="62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  <c r="AA91" s="62"/>
      <c r="AB91" s="62"/>
      <c r="AC91" s="62"/>
      <c r="AD91" s="62"/>
      <c r="AE91" s="62"/>
      <c r="AF91" s="62"/>
      <c r="AG91" s="62"/>
      <c r="AH91" s="62"/>
      <c r="AI91" s="62"/>
      <c r="AJ91" s="62"/>
      <c r="AK91" s="62"/>
      <c r="AL91" s="62"/>
      <c r="AM91" s="62"/>
      <c r="AN91" s="62"/>
      <c r="AO91" s="62"/>
      <c r="AP91" s="62"/>
      <c r="AQ91" s="62"/>
      <c r="AR91" s="62"/>
      <c r="AS91" s="62"/>
      <c r="AT91" s="62"/>
      <c r="AU91" s="62"/>
      <c r="AV91" s="62"/>
      <c r="AW91" s="62"/>
      <c r="AX91" s="62"/>
      <c r="AY91" s="62"/>
      <c r="AZ91" s="62"/>
      <c r="BA91" s="62"/>
      <c r="BB91" s="62"/>
      <c r="BC91" s="62"/>
      <c r="BD91" s="62"/>
      <c r="BE91" s="62"/>
      <c r="BF91" s="62"/>
      <c r="BG91" s="62"/>
      <c r="BH91" s="62"/>
      <c r="BI91" s="62"/>
      <c r="BJ91" s="62"/>
      <c r="BK91" s="62"/>
      <c r="BL91" s="62"/>
      <c r="BM91" s="62"/>
      <c r="BN91" s="62"/>
      <c r="BO91" s="62"/>
      <c r="BP91" s="62"/>
      <c r="BQ91" s="62"/>
      <c r="BR91" s="62"/>
      <c r="BS91" s="62"/>
      <c r="BT91" s="62"/>
      <c r="BU91" s="62"/>
      <c r="BV91" s="62"/>
      <c r="BW91" s="62"/>
      <c r="BX91" s="62"/>
      <c r="BY91" s="62"/>
      <c r="BZ91" s="62"/>
      <c r="CA91" s="62"/>
      <c r="CB91" s="62"/>
      <c r="EU91" s="30"/>
      <c r="EV91" s="30"/>
      <c r="EW91" s="30"/>
    </row>
    <row r="92" spans="1:153" ht="15" customHeight="1" x14ac:dyDescent="0.25">
      <c r="A92" s="61" t="s">
        <v>72</v>
      </c>
      <c r="B92" s="62"/>
      <c r="C92" s="56"/>
      <c r="D92" s="56" t="s">
        <v>40</v>
      </c>
      <c r="E92" s="56"/>
      <c r="F92" s="62"/>
      <c r="G92" s="62"/>
      <c r="H92" s="62"/>
      <c r="I92" s="62"/>
      <c r="J92" s="62"/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/>
      <c r="AF92" s="62"/>
      <c r="AG92" s="62"/>
      <c r="AH92" s="62"/>
      <c r="AI92" s="62"/>
      <c r="AJ92" s="62"/>
      <c r="AK92" s="62"/>
      <c r="AL92" s="62"/>
      <c r="AM92" s="62"/>
      <c r="AN92" s="62"/>
      <c r="AO92" s="62"/>
      <c r="AP92" s="62"/>
      <c r="AQ92" s="62"/>
      <c r="AR92" s="62"/>
      <c r="AS92" s="62"/>
      <c r="AT92" s="62"/>
      <c r="AU92" s="62"/>
      <c r="AV92" s="62"/>
      <c r="AW92" s="62"/>
      <c r="AX92" s="62"/>
      <c r="AY92" s="62"/>
      <c r="AZ92" s="62"/>
      <c r="BA92" s="62"/>
      <c r="BB92" s="62"/>
      <c r="BC92" s="62"/>
      <c r="BD92" s="62"/>
      <c r="BE92" s="62"/>
      <c r="BF92" s="62"/>
      <c r="BG92" s="62"/>
      <c r="BH92" s="62"/>
      <c r="BI92" s="62"/>
      <c r="BJ92" s="62"/>
      <c r="BK92" s="62"/>
      <c r="BL92" s="62"/>
      <c r="BM92" s="62"/>
      <c r="BN92" s="62"/>
      <c r="BO92" s="62"/>
      <c r="BP92" s="62"/>
      <c r="BQ92" s="62"/>
      <c r="BR92" s="62"/>
      <c r="BS92" s="62"/>
      <c r="BT92" s="62"/>
      <c r="BU92" s="62"/>
      <c r="BV92" s="62"/>
      <c r="BW92" s="62"/>
      <c r="BX92" s="62"/>
      <c r="BY92" s="62"/>
      <c r="BZ92" s="62"/>
      <c r="CA92" s="62"/>
      <c r="CB92" s="62"/>
      <c r="EU92" s="30"/>
      <c r="EV92" s="30"/>
      <c r="EW92" s="30"/>
    </row>
    <row r="93" spans="1:153" ht="15" customHeight="1" x14ac:dyDescent="0.25">
      <c r="A93" s="61" t="s">
        <v>101</v>
      </c>
      <c r="B93" s="62"/>
      <c r="C93" s="56"/>
      <c r="D93" s="56"/>
      <c r="E93" s="56" t="s">
        <v>40</v>
      </c>
      <c r="F93" s="62"/>
      <c r="G93" s="62"/>
      <c r="H93" s="62"/>
      <c r="I93" s="62"/>
      <c r="J93" s="62"/>
      <c r="K93" s="62"/>
      <c r="L93" s="62"/>
      <c r="M93" s="62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  <c r="AA93" s="62"/>
      <c r="AB93" s="62"/>
      <c r="AC93" s="62"/>
      <c r="AD93" s="62"/>
      <c r="AE93" s="62"/>
      <c r="AF93" s="62"/>
      <c r="AG93" s="62"/>
      <c r="AH93" s="62"/>
      <c r="AI93" s="62"/>
      <c r="AJ93" s="62"/>
      <c r="AK93" s="62"/>
      <c r="AL93" s="62"/>
      <c r="AM93" s="62"/>
      <c r="AN93" s="62"/>
      <c r="AO93" s="62"/>
      <c r="AP93" s="62"/>
      <c r="AQ93" s="62"/>
      <c r="AR93" s="62"/>
      <c r="AS93" s="62"/>
      <c r="AT93" s="62"/>
      <c r="AU93" s="62"/>
      <c r="AV93" s="62"/>
      <c r="AW93" s="62"/>
      <c r="AX93" s="62"/>
      <c r="AY93" s="62"/>
      <c r="AZ93" s="62"/>
      <c r="BA93" s="62"/>
      <c r="BB93" s="62"/>
      <c r="BC93" s="62"/>
      <c r="BD93" s="62"/>
      <c r="BE93" s="62"/>
      <c r="BF93" s="62"/>
      <c r="BG93" s="62"/>
      <c r="BH93" s="62"/>
      <c r="BI93" s="62"/>
      <c r="BJ93" s="62"/>
      <c r="BK93" s="62"/>
      <c r="BL93" s="62"/>
      <c r="BM93" s="62"/>
      <c r="BN93" s="62"/>
      <c r="BO93" s="62"/>
      <c r="BP93" s="62"/>
      <c r="BQ93" s="62"/>
      <c r="BR93" s="62"/>
      <c r="BS93" s="62"/>
      <c r="BT93" s="62"/>
      <c r="BU93" s="62"/>
      <c r="BV93" s="62"/>
      <c r="BW93" s="62"/>
      <c r="BX93" s="62"/>
      <c r="BY93" s="62"/>
      <c r="BZ93" s="62"/>
      <c r="CA93" s="62"/>
      <c r="CB93" s="62"/>
      <c r="EU93" s="30"/>
      <c r="EV93" s="30"/>
      <c r="EW93" s="30"/>
    </row>
    <row r="94" spans="1:153" ht="15" x14ac:dyDescent="0.3">
      <c r="A94" s="47" t="s">
        <v>102</v>
      </c>
      <c r="B94" s="57"/>
      <c r="C94" s="57"/>
      <c r="D94" s="57"/>
      <c r="E94" s="57"/>
      <c r="F94" s="57"/>
      <c r="G94" s="57"/>
      <c r="H94" s="57"/>
      <c r="I94" s="57"/>
      <c r="J94" s="57"/>
      <c r="K94" s="57"/>
      <c r="L94" s="57"/>
      <c r="M94" s="57"/>
      <c r="N94" s="57"/>
      <c r="O94" s="57"/>
      <c r="P94" s="57"/>
      <c r="Q94" s="57"/>
      <c r="R94" s="57"/>
      <c r="S94" s="57"/>
      <c r="T94" s="57"/>
      <c r="U94" s="57"/>
      <c r="V94" s="57"/>
      <c r="W94" s="57"/>
      <c r="X94" s="57"/>
      <c r="Y94" s="57"/>
      <c r="Z94" s="57"/>
      <c r="AA94" s="57"/>
      <c r="AB94" s="57"/>
      <c r="AC94" s="57"/>
      <c r="AD94" s="57"/>
      <c r="AE94" s="57"/>
      <c r="AF94" s="57"/>
      <c r="AG94" s="57"/>
      <c r="AH94" s="57"/>
      <c r="AI94" s="57"/>
      <c r="AJ94" s="57"/>
      <c r="AK94" s="57"/>
      <c r="AL94" s="57"/>
      <c r="AM94" s="57"/>
      <c r="AN94" s="57"/>
      <c r="AO94" s="57"/>
      <c r="AP94" s="57"/>
      <c r="AQ94" s="57"/>
      <c r="AR94" s="57"/>
      <c r="AS94" s="57"/>
      <c r="AT94" s="57"/>
      <c r="AU94" s="57"/>
      <c r="AV94" s="57"/>
      <c r="AW94" s="57"/>
      <c r="AX94" s="57"/>
      <c r="AY94" s="57"/>
      <c r="AZ94" s="57"/>
      <c r="BA94" s="57"/>
      <c r="BB94" s="57"/>
      <c r="BC94" s="57"/>
      <c r="BD94" s="57"/>
      <c r="BE94" s="57"/>
      <c r="BF94" s="57"/>
      <c r="BG94" s="57"/>
      <c r="BH94" s="57"/>
      <c r="BI94" s="57"/>
      <c r="BJ94" s="57"/>
      <c r="BK94" s="57"/>
      <c r="BL94" s="57"/>
      <c r="BM94" s="57"/>
      <c r="BN94" s="57"/>
      <c r="BO94" s="57"/>
      <c r="BP94" s="57"/>
      <c r="BQ94" s="57"/>
      <c r="BR94" s="57"/>
      <c r="BS94" s="57"/>
      <c r="BT94" s="57"/>
      <c r="BU94" s="57"/>
      <c r="BV94" s="57"/>
      <c r="BW94" s="57"/>
      <c r="BX94" s="57"/>
      <c r="BY94" s="57"/>
      <c r="BZ94" s="57"/>
      <c r="CA94" s="57"/>
      <c r="CB94" s="57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/>
      <c r="DE94"/>
      <c r="DF94"/>
      <c r="DG94"/>
      <c r="DH94"/>
      <c r="DI94"/>
      <c r="DJ94"/>
      <c r="DK94"/>
      <c r="DL94"/>
      <c r="DM94"/>
      <c r="DN94"/>
      <c r="DO94"/>
      <c r="DP94"/>
      <c r="DQ94"/>
      <c r="DR94"/>
      <c r="DS94"/>
      <c r="DT94"/>
      <c r="DU94"/>
      <c r="DV94"/>
      <c r="DW94"/>
      <c r="DX94"/>
      <c r="DY94"/>
      <c r="DZ94"/>
      <c r="EA94"/>
      <c r="EB94"/>
      <c r="EC94"/>
      <c r="ED94"/>
      <c r="EE94"/>
      <c r="EF94"/>
      <c r="EG94"/>
      <c r="EH94"/>
      <c r="EI94"/>
      <c r="EJ94"/>
      <c r="EK94"/>
      <c r="EL94"/>
      <c r="EM94"/>
      <c r="EN94"/>
      <c r="EO94"/>
      <c r="EP94"/>
      <c r="EQ94"/>
      <c r="ER94"/>
      <c r="ES94"/>
      <c r="ET94"/>
    </row>
    <row r="95" spans="1:153" ht="14.25" customHeight="1" x14ac:dyDescent="0.25">
      <c r="A95" s="53" t="s">
        <v>103</v>
      </c>
      <c r="B95" s="56" t="s">
        <v>40</v>
      </c>
      <c r="C95" s="56" t="s">
        <v>40</v>
      </c>
      <c r="D95" s="56"/>
      <c r="E95" s="56"/>
      <c r="F95" s="56"/>
      <c r="G95" s="56" t="s">
        <v>40</v>
      </c>
      <c r="H95" s="56" t="s">
        <v>40</v>
      </c>
      <c r="I95" s="56" t="s">
        <v>40</v>
      </c>
      <c r="J95" s="56" t="s">
        <v>40</v>
      </c>
      <c r="K95" s="56" t="s">
        <v>40</v>
      </c>
      <c r="L95" s="56" t="s">
        <v>40</v>
      </c>
      <c r="M95" s="56" t="s">
        <v>40</v>
      </c>
      <c r="N95" s="56" t="s">
        <v>40</v>
      </c>
      <c r="O95" s="56" t="s">
        <v>40</v>
      </c>
      <c r="P95" s="56" t="s">
        <v>40</v>
      </c>
      <c r="Q95" s="56"/>
      <c r="R95" s="56" t="s">
        <v>40</v>
      </c>
      <c r="S95" s="56" t="s">
        <v>40</v>
      </c>
      <c r="T95" s="56" t="s">
        <v>40</v>
      </c>
      <c r="U95" s="56" t="s">
        <v>40</v>
      </c>
      <c r="V95" s="56" t="s">
        <v>40</v>
      </c>
      <c r="W95" s="56" t="s">
        <v>40</v>
      </c>
      <c r="X95" s="56" t="s">
        <v>40</v>
      </c>
      <c r="Y95" s="56" t="s">
        <v>40</v>
      </c>
      <c r="Z95" s="56" t="s">
        <v>40</v>
      </c>
      <c r="AA95" s="56"/>
      <c r="AB95" s="56"/>
      <c r="AC95" s="56"/>
      <c r="AD95" s="56"/>
      <c r="AE95" s="56"/>
      <c r="AF95" s="56"/>
      <c r="AG95" s="56"/>
      <c r="AH95" s="56"/>
      <c r="AI95" s="56"/>
      <c r="AJ95" s="56"/>
      <c r="AK95" s="56"/>
      <c r="AL95" s="56"/>
      <c r="AM95" s="56"/>
      <c r="AN95" s="56"/>
      <c r="AO95" s="56"/>
      <c r="AP95" s="56"/>
      <c r="AQ95" s="56"/>
      <c r="AR95" s="56" t="s">
        <v>40</v>
      </c>
      <c r="AS95" s="56" t="s">
        <v>40</v>
      </c>
      <c r="AT95" s="56" t="s">
        <v>40</v>
      </c>
      <c r="AU95" s="56"/>
      <c r="AV95" s="56" t="s">
        <v>40</v>
      </c>
      <c r="AW95" s="56" t="s">
        <v>40</v>
      </c>
      <c r="AX95" s="56" t="s">
        <v>40</v>
      </c>
      <c r="AY95" s="56" t="s">
        <v>40</v>
      </c>
      <c r="AZ95" s="56" t="s">
        <v>40</v>
      </c>
      <c r="BA95" s="56" t="s">
        <v>40</v>
      </c>
      <c r="BB95" s="56" t="s">
        <v>40</v>
      </c>
      <c r="BC95" s="56" t="s">
        <v>40</v>
      </c>
      <c r="BD95" s="56" t="s">
        <v>40</v>
      </c>
      <c r="BE95" s="56" t="s">
        <v>40</v>
      </c>
      <c r="BF95" s="56" t="s">
        <v>40</v>
      </c>
      <c r="BG95" s="56" t="s">
        <v>40</v>
      </c>
      <c r="BH95" s="56" t="s">
        <v>40</v>
      </c>
      <c r="BI95" s="56"/>
      <c r="BJ95" s="56"/>
      <c r="BK95" s="56"/>
      <c r="BL95" s="56"/>
      <c r="BM95" s="56" t="s">
        <v>40</v>
      </c>
      <c r="BN95" s="56" t="s">
        <v>40</v>
      </c>
      <c r="BO95" s="56" t="s">
        <v>40</v>
      </c>
      <c r="BP95" s="56" t="s">
        <v>40</v>
      </c>
      <c r="BQ95" s="56" t="s">
        <v>40</v>
      </c>
      <c r="BR95" s="56" t="s">
        <v>40</v>
      </c>
      <c r="BS95" s="56" t="s">
        <v>40</v>
      </c>
      <c r="BT95" s="56" t="s">
        <v>40</v>
      </c>
      <c r="BU95" s="56" t="s">
        <v>40</v>
      </c>
      <c r="BV95" s="56" t="s">
        <v>40</v>
      </c>
      <c r="BW95" s="56" t="s">
        <v>40</v>
      </c>
      <c r="BX95" s="56" t="s">
        <v>40</v>
      </c>
      <c r="BY95" s="56" t="s">
        <v>40</v>
      </c>
      <c r="BZ95" s="56" t="s">
        <v>40</v>
      </c>
      <c r="CA95" s="56" t="s">
        <v>40</v>
      </c>
      <c r="CB95" s="56" t="s">
        <v>40</v>
      </c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/>
      <c r="DB95"/>
      <c r="DC95"/>
      <c r="DD95"/>
      <c r="DE95"/>
      <c r="DF95"/>
      <c r="DG95"/>
      <c r="DH95"/>
      <c r="DI95"/>
      <c r="DJ95"/>
      <c r="DK95"/>
      <c r="DL95"/>
      <c r="DM95"/>
      <c r="DN95"/>
      <c r="DO95"/>
      <c r="DP95"/>
      <c r="DQ95"/>
      <c r="DR95"/>
      <c r="DS95"/>
      <c r="DT95"/>
      <c r="DU95"/>
      <c r="DV95"/>
      <c r="DW95"/>
      <c r="DX95"/>
      <c r="DY95"/>
      <c r="DZ95"/>
      <c r="EA95"/>
      <c r="EB95"/>
      <c r="EC95"/>
      <c r="ED95"/>
      <c r="EE95"/>
      <c r="EF95"/>
      <c r="EG95"/>
      <c r="EH95"/>
      <c r="EI95"/>
      <c r="EJ95"/>
      <c r="EK95"/>
      <c r="EL95"/>
      <c r="EM95"/>
      <c r="EN95"/>
      <c r="EO95"/>
      <c r="EP95"/>
      <c r="EQ95"/>
      <c r="ER95"/>
      <c r="ES95"/>
      <c r="ET95"/>
    </row>
    <row r="96" spans="1:153" ht="15" customHeight="1" x14ac:dyDescent="0.25">
      <c r="A96" s="53" t="s">
        <v>104</v>
      </c>
      <c r="B96" s="56" t="s">
        <v>40</v>
      </c>
      <c r="C96" s="56" t="s">
        <v>40</v>
      </c>
      <c r="D96" s="56"/>
      <c r="E96" s="56"/>
      <c r="F96" s="56"/>
      <c r="G96" s="56" t="s">
        <v>40</v>
      </c>
      <c r="H96" s="56" t="s">
        <v>40</v>
      </c>
      <c r="I96" s="56" t="s">
        <v>40</v>
      </c>
      <c r="J96" s="56" t="s">
        <v>40</v>
      </c>
      <c r="K96" s="56" t="s">
        <v>40</v>
      </c>
      <c r="L96" s="56" t="s">
        <v>40</v>
      </c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  <c r="AA96" s="56"/>
      <c r="AB96" s="56"/>
      <c r="AC96" s="56"/>
      <c r="AD96" s="56"/>
      <c r="AE96" s="56"/>
      <c r="AF96" s="56"/>
      <c r="AG96" s="56"/>
      <c r="AH96" s="56"/>
      <c r="AI96" s="56"/>
      <c r="AJ96" s="56"/>
      <c r="AK96" s="56"/>
      <c r="AL96" s="56"/>
      <c r="AM96" s="56"/>
      <c r="AN96" s="56"/>
      <c r="AO96" s="56"/>
      <c r="AP96" s="56"/>
      <c r="AQ96" s="56"/>
      <c r="AR96" s="56"/>
      <c r="AS96" s="67"/>
      <c r="AT96" s="56"/>
      <c r="AU96" s="56"/>
      <c r="AV96" s="56"/>
      <c r="AW96" s="67"/>
      <c r="AX96" s="56"/>
      <c r="AY96" s="56"/>
      <c r="AZ96" s="67"/>
      <c r="BA96" s="56"/>
      <c r="BB96" s="56"/>
      <c r="BC96" s="67"/>
      <c r="BD96" s="56"/>
      <c r="BE96" s="56"/>
      <c r="BF96" s="67"/>
      <c r="BG96" s="56"/>
      <c r="BH96" s="56"/>
      <c r="BI96" s="67"/>
      <c r="BJ96" s="67"/>
      <c r="BK96" s="67"/>
      <c r="BL96" s="67"/>
      <c r="BM96" s="67"/>
      <c r="BN96" s="56"/>
      <c r="BO96" s="56"/>
      <c r="BP96" s="67"/>
      <c r="BQ96" s="56"/>
      <c r="BR96" s="56"/>
      <c r="BS96" s="67"/>
      <c r="BT96" s="56"/>
      <c r="BU96" s="56"/>
      <c r="BV96" s="67"/>
      <c r="BW96" s="56"/>
      <c r="BX96" s="56"/>
      <c r="BY96" s="67"/>
      <c r="BZ96" s="56"/>
      <c r="CA96" s="56"/>
      <c r="CB96" s="67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  <c r="DE96"/>
      <c r="DF96"/>
      <c r="DG96"/>
      <c r="DH96"/>
      <c r="DI96"/>
      <c r="DJ96"/>
      <c r="DK96"/>
      <c r="DL96"/>
      <c r="DM96"/>
      <c r="DN96"/>
      <c r="DO96"/>
      <c r="DP96"/>
      <c r="DQ96"/>
      <c r="DR96"/>
      <c r="DS96"/>
      <c r="DT96"/>
      <c r="DU96"/>
      <c r="DV96"/>
      <c r="DW96"/>
      <c r="DX96"/>
      <c r="DY96"/>
      <c r="DZ96"/>
      <c r="EA96"/>
      <c r="EB96"/>
      <c r="EC96"/>
      <c r="ED96"/>
      <c r="EE96"/>
      <c r="EF96"/>
      <c r="EG96"/>
      <c r="EH96"/>
      <c r="EI96"/>
      <c r="EJ96"/>
      <c r="EK96"/>
      <c r="EL96"/>
      <c r="EM96"/>
      <c r="EN96"/>
      <c r="EO96"/>
      <c r="EP96"/>
      <c r="EQ96"/>
      <c r="ER96"/>
      <c r="ES96"/>
      <c r="ET96"/>
    </row>
    <row r="97" spans="1:153" ht="15" customHeight="1" x14ac:dyDescent="0.25">
      <c r="A97" s="53" t="s">
        <v>105</v>
      </c>
      <c r="B97" s="56"/>
      <c r="C97" s="56"/>
      <c r="D97" s="56"/>
      <c r="E97" s="56"/>
      <c r="F97" s="56"/>
      <c r="G97" s="56"/>
      <c r="H97" s="56"/>
      <c r="I97" s="56"/>
      <c r="J97" s="56" t="s">
        <v>40</v>
      </c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  <c r="AA97" s="56"/>
      <c r="AB97" s="56"/>
      <c r="AC97" s="56"/>
      <c r="AD97" s="56"/>
      <c r="AE97" s="56"/>
      <c r="AF97" s="56"/>
      <c r="AG97" s="56"/>
      <c r="AH97" s="56"/>
      <c r="AI97" s="56"/>
      <c r="AJ97" s="56"/>
      <c r="AK97" s="56"/>
      <c r="AL97" s="56"/>
      <c r="AM97" s="56"/>
      <c r="AN97" s="56"/>
      <c r="AO97" s="56"/>
      <c r="AP97" s="56"/>
      <c r="AQ97" s="56"/>
      <c r="AR97" s="56"/>
      <c r="AS97" s="67"/>
      <c r="AT97" s="56"/>
      <c r="AU97" s="56"/>
      <c r="AV97" s="56"/>
      <c r="AW97" s="67"/>
      <c r="AX97" s="56"/>
      <c r="AY97" s="56"/>
      <c r="AZ97" s="67"/>
      <c r="BA97" s="56"/>
      <c r="BB97" s="56"/>
      <c r="BC97" s="67"/>
      <c r="BD97" s="56"/>
      <c r="BE97" s="56"/>
      <c r="BF97" s="67"/>
      <c r="BG97" s="56"/>
      <c r="BH97" s="56"/>
      <c r="BI97" s="67"/>
      <c r="BJ97" s="67"/>
      <c r="BK97" s="67"/>
      <c r="BL97" s="67"/>
      <c r="BM97" s="67"/>
      <c r="BN97" s="56"/>
      <c r="BO97" s="56"/>
      <c r="BP97" s="67"/>
      <c r="BQ97" s="56"/>
      <c r="BR97" s="56"/>
      <c r="BS97" s="67"/>
      <c r="BT97" s="56"/>
      <c r="BU97" s="56"/>
      <c r="BV97" s="67"/>
      <c r="BW97" s="56"/>
      <c r="BX97" s="56"/>
      <c r="BY97" s="67"/>
      <c r="BZ97" s="56"/>
      <c r="CA97" s="56"/>
      <c r="CB97" s="6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/>
      <c r="DE97"/>
      <c r="DF97"/>
      <c r="DG97"/>
      <c r="DH97"/>
      <c r="DI97"/>
      <c r="DJ97"/>
      <c r="DK97"/>
      <c r="DL97"/>
      <c r="DM97"/>
      <c r="DN97"/>
      <c r="DO97"/>
      <c r="DP97"/>
      <c r="DQ97"/>
      <c r="DR97"/>
      <c r="DS97"/>
      <c r="DT97"/>
      <c r="DU97"/>
      <c r="DV97"/>
      <c r="DW97"/>
      <c r="DX97"/>
      <c r="DY97"/>
      <c r="DZ97"/>
      <c r="EA97"/>
      <c r="EB97"/>
      <c r="EC97"/>
      <c r="ED97"/>
      <c r="EE97"/>
      <c r="EF97"/>
      <c r="EG97"/>
      <c r="EH97"/>
      <c r="EI97"/>
      <c r="EJ97"/>
      <c r="EK97"/>
      <c r="EL97"/>
      <c r="EM97"/>
      <c r="EN97"/>
      <c r="EO97"/>
      <c r="EP97"/>
      <c r="EQ97"/>
      <c r="ER97"/>
      <c r="ES97"/>
      <c r="ET97"/>
    </row>
    <row r="98" spans="1:153" ht="15" customHeight="1" x14ac:dyDescent="0.25">
      <c r="A98" s="53" t="s">
        <v>106</v>
      </c>
      <c r="B98" s="56"/>
      <c r="C98" s="56"/>
      <c r="D98" s="56"/>
      <c r="E98" s="56"/>
      <c r="F98" s="56"/>
      <c r="G98" s="56"/>
      <c r="H98" s="56"/>
      <c r="I98" s="56"/>
      <c r="J98" s="56"/>
      <c r="K98" s="56" t="s">
        <v>40</v>
      </c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  <c r="AA98" s="56"/>
      <c r="AB98" s="56"/>
      <c r="AC98" s="56"/>
      <c r="AD98" s="56"/>
      <c r="AE98" s="56"/>
      <c r="AF98" s="56"/>
      <c r="AG98" s="56"/>
      <c r="AH98" s="56"/>
      <c r="AI98" s="56"/>
      <c r="AJ98" s="56"/>
      <c r="AK98" s="56"/>
      <c r="AL98" s="56"/>
      <c r="AM98" s="56"/>
      <c r="AN98" s="56"/>
      <c r="AO98" s="56"/>
      <c r="AP98" s="56"/>
      <c r="AQ98" s="56"/>
      <c r="AR98" s="56"/>
      <c r="AS98" s="67"/>
      <c r="AT98" s="56"/>
      <c r="AU98" s="56"/>
      <c r="AV98" s="56"/>
      <c r="AW98" s="67"/>
      <c r="AX98" s="56"/>
      <c r="AY98" s="56"/>
      <c r="AZ98" s="67"/>
      <c r="BA98" s="56"/>
      <c r="BB98" s="56"/>
      <c r="BC98" s="67"/>
      <c r="BD98" s="56"/>
      <c r="BE98" s="56"/>
      <c r="BF98" s="67"/>
      <c r="BG98" s="56"/>
      <c r="BH98" s="56"/>
      <c r="BI98" s="67"/>
      <c r="BJ98" s="67"/>
      <c r="BK98" s="67"/>
      <c r="BL98" s="67"/>
      <c r="BM98" s="67"/>
      <c r="BN98" s="56"/>
      <c r="BO98" s="56"/>
      <c r="BP98" s="67"/>
      <c r="BQ98" s="56"/>
      <c r="BR98" s="56"/>
      <c r="BS98" s="67"/>
      <c r="BT98" s="56"/>
      <c r="BU98" s="56"/>
      <c r="BV98" s="67"/>
      <c r="BW98" s="56"/>
      <c r="BX98" s="56"/>
      <c r="BY98" s="67"/>
      <c r="BZ98" s="56"/>
      <c r="CA98" s="56"/>
      <c r="CB98" s="67"/>
      <c r="CC98"/>
      <c r="CD98"/>
      <c r="CE98"/>
      <c r="CF98"/>
      <c r="CG98"/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  <c r="CV98"/>
      <c r="CW98"/>
      <c r="CX98"/>
      <c r="CY98"/>
      <c r="CZ98"/>
      <c r="DA98"/>
      <c r="DB98"/>
      <c r="DC98"/>
      <c r="DD98"/>
      <c r="DE98"/>
      <c r="DF98"/>
      <c r="DG98"/>
      <c r="DH98"/>
      <c r="DI98"/>
      <c r="DJ98"/>
      <c r="DK98"/>
      <c r="DL98"/>
      <c r="DM98"/>
      <c r="DN98"/>
      <c r="DO98"/>
      <c r="DP98"/>
      <c r="DQ98"/>
      <c r="DR98"/>
      <c r="DS98"/>
      <c r="DT98"/>
      <c r="DU98"/>
      <c r="DV98"/>
      <c r="DW98"/>
      <c r="DX98"/>
      <c r="DY98"/>
      <c r="DZ98"/>
      <c r="EA98"/>
      <c r="EB98"/>
      <c r="EC98"/>
      <c r="ED98"/>
      <c r="EE98"/>
      <c r="EF98"/>
      <c r="EG98"/>
      <c r="EH98"/>
      <c r="EI98"/>
      <c r="EJ98"/>
      <c r="EK98"/>
      <c r="EL98"/>
      <c r="EM98"/>
      <c r="EN98"/>
      <c r="EO98"/>
      <c r="EP98"/>
      <c r="EQ98"/>
      <c r="ER98"/>
      <c r="ES98"/>
      <c r="ET98"/>
    </row>
    <row r="99" spans="1:153" ht="15" customHeight="1" x14ac:dyDescent="0.25">
      <c r="A99" s="53" t="s">
        <v>107</v>
      </c>
      <c r="B99" s="56"/>
      <c r="C99" s="56"/>
      <c r="D99" s="56"/>
      <c r="E99" s="56"/>
      <c r="F99" s="56"/>
      <c r="G99" s="56"/>
      <c r="H99" s="56"/>
      <c r="I99" s="56"/>
      <c r="J99" s="56"/>
      <c r="K99" s="56"/>
      <c r="L99" s="56" t="s">
        <v>40</v>
      </c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  <c r="AA99" s="56"/>
      <c r="AB99" s="56"/>
      <c r="AC99" s="56"/>
      <c r="AD99" s="56"/>
      <c r="AE99" s="56"/>
      <c r="AF99" s="56"/>
      <c r="AG99" s="56"/>
      <c r="AH99" s="56"/>
      <c r="AI99" s="56"/>
      <c r="AJ99" s="56"/>
      <c r="AK99" s="56"/>
      <c r="AL99" s="56"/>
      <c r="AM99" s="56"/>
      <c r="AN99" s="56"/>
      <c r="AO99" s="56"/>
      <c r="AP99" s="56"/>
      <c r="AQ99" s="56"/>
      <c r="AR99" s="56"/>
      <c r="AS99" s="67"/>
      <c r="AT99" s="56"/>
      <c r="AU99" s="56"/>
      <c r="AV99" s="56"/>
      <c r="AW99" s="67"/>
      <c r="AX99" s="56"/>
      <c r="AY99" s="56"/>
      <c r="AZ99" s="67"/>
      <c r="BA99" s="56"/>
      <c r="BB99" s="56"/>
      <c r="BC99" s="67"/>
      <c r="BD99" s="56"/>
      <c r="BE99" s="56"/>
      <c r="BF99" s="67"/>
      <c r="BG99" s="56"/>
      <c r="BH99" s="56"/>
      <c r="BI99" s="67"/>
      <c r="BJ99" s="67"/>
      <c r="BK99" s="67"/>
      <c r="BL99" s="67"/>
      <c r="BM99" s="67"/>
      <c r="BN99" s="56"/>
      <c r="BO99" s="56"/>
      <c r="BP99" s="67"/>
      <c r="BQ99" s="56"/>
      <c r="BR99" s="56"/>
      <c r="BS99" s="67"/>
      <c r="BT99" s="56"/>
      <c r="BU99" s="56"/>
      <c r="BV99" s="67"/>
      <c r="BW99" s="56"/>
      <c r="BX99" s="56"/>
      <c r="BY99" s="67"/>
      <c r="BZ99" s="56"/>
      <c r="CA99" s="56"/>
      <c r="CB99" s="67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/>
      <c r="CY99"/>
      <c r="CZ99"/>
      <c r="DA99"/>
      <c r="DB99"/>
      <c r="DC99"/>
      <c r="DD99"/>
      <c r="DE99"/>
      <c r="DF99"/>
      <c r="DG99"/>
      <c r="DH99"/>
      <c r="DI99"/>
      <c r="DJ99"/>
      <c r="DK99"/>
      <c r="DL99"/>
      <c r="DM99"/>
      <c r="DN99"/>
      <c r="DO99"/>
      <c r="DP99"/>
      <c r="DQ99"/>
      <c r="DR99"/>
      <c r="DS99"/>
      <c r="DT99"/>
      <c r="DU99"/>
      <c r="DV99"/>
      <c r="DW99"/>
      <c r="DX99"/>
      <c r="DY99"/>
      <c r="DZ99"/>
      <c r="EA99"/>
      <c r="EB99"/>
      <c r="EC99"/>
      <c r="ED99"/>
      <c r="EE99"/>
      <c r="EF99"/>
      <c r="EG99"/>
      <c r="EH99"/>
      <c r="EI99"/>
      <c r="EJ99"/>
      <c r="EK99"/>
      <c r="EL99"/>
      <c r="EM99"/>
      <c r="EN99"/>
      <c r="EO99"/>
      <c r="EP99"/>
      <c r="EQ99"/>
      <c r="ER99"/>
      <c r="ES99"/>
      <c r="ET99"/>
    </row>
    <row r="100" spans="1:153" ht="15" customHeight="1" x14ac:dyDescent="0.25">
      <c r="A100" s="53" t="s">
        <v>108</v>
      </c>
      <c r="B100" s="56" t="s">
        <v>40</v>
      </c>
      <c r="C100" s="56" t="s">
        <v>40</v>
      </c>
      <c r="D100" s="56"/>
      <c r="E100" s="56"/>
      <c r="F100" s="56"/>
      <c r="G100" s="56" t="s">
        <v>40</v>
      </c>
      <c r="H100" s="56" t="s">
        <v>40</v>
      </c>
      <c r="I100" s="56" t="s">
        <v>40</v>
      </c>
      <c r="J100" s="56" t="s">
        <v>40</v>
      </c>
      <c r="K100" s="56" t="s">
        <v>40</v>
      </c>
      <c r="L100" s="56" t="s">
        <v>40</v>
      </c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  <c r="AA100" s="56"/>
      <c r="AB100" s="56"/>
      <c r="AC100" s="56"/>
      <c r="AD100" s="56"/>
      <c r="AE100" s="56"/>
      <c r="AF100" s="56"/>
      <c r="AG100" s="56"/>
      <c r="AH100" s="56"/>
      <c r="AI100" s="56"/>
      <c r="AJ100" s="56"/>
      <c r="AK100" s="56"/>
      <c r="AL100" s="56"/>
      <c r="AM100" s="56"/>
      <c r="AN100" s="56"/>
      <c r="AO100" s="56"/>
      <c r="AP100" s="56"/>
      <c r="AQ100" s="56"/>
      <c r="AR100" s="56"/>
      <c r="AS100" s="67"/>
      <c r="AT100" s="56"/>
      <c r="AU100" s="56"/>
      <c r="AV100" s="56"/>
      <c r="AW100" s="67"/>
      <c r="AX100" s="56"/>
      <c r="AY100" s="56"/>
      <c r="AZ100" s="67"/>
      <c r="BA100" s="56"/>
      <c r="BB100" s="56"/>
      <c r="BC100" s="67"/>
      <c r="BD100" s="56"/>
      <c r="BE100" s="56"/>
      <c r="BF100" s="67"/>
      <c r="BG100" s="56"/>
      <c r="BH100" s="56"/>
      <c r="BI100" s="67"/>
      <c r="BJ100" s="67"/>
      <c r="BK100" s="67"/>
      <c r="BL100" s="67"/>
      <c r="BM100" s="67"/>
      <c r="BN100" s="56"/>
      <c r="BO100" s="56"/>
      <c r="BP100" s="67"/>
      <c r="BQ100" s="56"/>
      <c r="BR100" s="56"/>
      <c r="BS100" s="67"/>
      <c r="BT100" s="56"/>
      <c r="BU100" s="56"/>
      <c r="BV100" s="67"/>
      <c r="BW100" s="56"/>
      <c r="BX100" s="56"/>
      <c r="BY100" s="67"/>
      <c r="BZ100" s="56"/>
      <c r="CA100" s="56"/>
      <c r="CB100" s="67"/>
      <c r="CC100"/>
      <c r="CD100"/>
      <c r="CE100"/>
      <c r="CF100"/>
      <c r="CG100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CW100"/>
      <c r="CX100"/>
      <c r="CY100"/>
      <c r="CZ100"/>
      <c r="DA100"/>
      <c r="DB100"/>
      <c r="DC100"/>
      <c r="DD100"/>
      <c r="DE100"/>
      <c r="DF100"/>
      <c r="DG100"/>
      <c r="DH100"/>
      <c r="DI100"/>
      <c r="DJ100"/>
      <c r="DK100"/>
      <c r="DL100"/>
      <c r="DM100"/>
      <c r="DN100"/>
      <c r="DO100"/>
      <c r="DP100"/>
      <c r="DQ100"/>
      <c r="DR100"/>
      <c r="DS100"/>
      <c r="DT100"/>
      <c r="DU100"/>
      <c r="DV100"/>
      <c r="DW100"/>
      <c r="DX100"/>
      <c r="DY100"/>
      <c r="DZ100"/>
      <c r="EA100"/>
      <c r="EB100"/>
      <c r="EC100"/>
      <c r="ED100"/>
      <c r="EE100"/>
      <c r="EF100"/>
      <c r="EG100"/>
      <c r="EH100"/>
      <c r="EI100"/>
      <c r="EJ100"/>
      <c r="EK100"/>
      <c r="EL100"/>
      <c r="EM100"/>
      <c r="EN100"/>
      <c r="EO100"/>
      <c r="EP100"/>
      <c r="EQ100"/>
      <c r="ER100"/>
      <c r="ES100"/>
      <c r="ET100"/>
    </row>
    <row r="101" spans="1:153" ht="15" customHeight="1" x14ac:dyDescent="0.25">
      <c r="A101" s="53" t="s">
        <v>109</v>
      </c>
      <c r="B101" s="56"/>
      <c r="C101" s="56" t="s">
        <v>40</v>
      </c>
      <c r="D101" s="56"/>
      <c r="E101" s="56"/>
      <c r="F101" s="56"/>
      <c r="G101" s="56"/>
      <c r="H101" s="56" t="s">
        <v>40</v>
      </c>
      <c r="I101" s="56"/>
      <c r="J101" s="56" t="s">
        <v>40</v>
      </c>
      <c r="K101" s="56"/>
      <c r="L101" s="56" t="s">
        <v>40</v>
      </c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  <c r="AA101" s="56"/>
      <c r="AB101" s="56"/>
      <c r="AC101" s="56"/>
      <c r="AD101" s="56"/>
      <c r="AE101" s="56"/>
      <c r="AF101" s="56"/>
      <c r="AG101" s="56"/>
      <c r="AH101" s="56"/>
      <c r="AI101" s="56"/>
      <c r="AJ101" s="56"/>
      <c r="AK101" s="56"/>
      <c r="AL101" s="56"/>
      <c r="AM101" s="56"/>
      <c r="AN101" s="56"/>
      <c r="AO101" s="56"/>
      <c r="AP101" s="56"/>
      <c r="AQ101" s="56"/>
      <c r="AR101" s="56"/>
      <c r="AS101" s="67"/>
      <c r="AT101" s="56"/>
      <c r="AU101" s="56"/>
      <c r="AV101" s="56"/>
      <c r="AW101" s="67"/>
      <c r="AX101" s="56"/>
      <c r="AY101" s="56"/>
      <c r="AZ101" s="67"/>
      <c r="BA101" s="56"/>
      <c r="BB101" s="56"/>
      <c r="BC101" s="67"/>
      <c r="BD101" s="56"/>
      <c r="BE101" s="56"/>
      <c r="BF101" s="67"/>
      <c r="BG101" s="56"/>
      <c r="BH101" s="56"/>
      <c r="BI101" s="67"/>
      <c r="BJ101" s="67"/>
      <c r="BK101" s="67"/>
      <c r="BL101" s="67"/>
      <c r="BM101" s="67"/>
      <c r="BN101" s="56"/>
      <c r="BO101" s="56"/>
      <c r="BP101" s="67"/>
      <c r="BQ101" s="56"/>
      <c r="BR101" s="56"/>
      <c r="BS101" s="67"/>
      <c r="BT101" s="56"/>
      <c r="BU101" s="56"/>
      <c r="BV101" s="67"/>
      <c r="BW101" s="56"/>
      <c r="BX101" s="56"/>
      <c r="BY101" s="67"/>
      <c r="BZ101" s="56"/>
      <c r="CA101" s="56"/>
      <c r="CB101" s="67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  <c r="CZ101"/>
      <c r="DA101"/>
      <c r="DB101"/>
      <c r="DC101"/>
      <c r="DD101"/>
      <c r="DE101"/>
      <c r="DF101"/>
      <c r="DG101"/>
      <c r="DH101"/>
      <c r="DI101"/>
      <c r="DJ101"/>
      <c r="DK101"/>
      <c r="DL101"/>
      <c r="DM101"/>
      <c r="DN101"/>
      <c r="DO101"/>
      <c r="DP101"/>
      <c r="DQ101"/>
      <c r="DR101"/>
      <c r="DS101"/>
      <c r="DT101"/>
      <c r="DU101"/>
      <c r="DV101"/>
      <c r="DW101"/>
      <c r="DX101"/>
      <c r="DY101"/>
      <c r="DZ101"/>
      <c r="EA101"/>
      <c r="EB101"/>
      <c r="EC101"/>
      <c r="ED101"/>
      <c r="EE101"/>
      <c r="EF101"/>
      <c r="EG101"/>
      <c r="EH101"/>
      <c r="EI101"/>
      <c r="EJ101"/>
      <c r="EK101"/>
      <c r="EL101"/>
      <c r="EM101"/>
      <c r="EN101"/>
      <c r="EO101"/>
      <c r="EP101"/>
      <c r="EQ101"/>
      <c r="ER101"/>
      <c r="ES101"/>
      <c r="ET101"/>
    </row>
    <row r="102" spans="1:153" ht="15" customHeight="1" x14ac:dyDescent="0.25">
      <c r="A102" s="53" t="s">
        <v>110</v>
      </c>
      <c r="B102" s="56"/>
      <c r="C102" s="56" t="s">
        <v>40</v>
      </c>
      <c r="D102" s="56"/>
      <c r="E102" s="56"/>
      <c r="F102" s="56"/>
      <c r="G102" s="56"/>
      <c r="H102" s="56" t="s">
        <v>40</v>
      </c>
      <c r="I102" s="56"/>
      <c r="J102" s="56" t="s">
        <v>40</v>
      </c>
      <c r="K102" s="56"/>
      <c r="L102" s="56" t="s">
        <v>40</v>
      </c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  <c r="AA102" s="56"/>
      <c r="AB102" s="56"/>
      <c r="AC102" s="56"/>
      <c r="AD102" s="56"/>
      <c r="AE102" s="56"/>
      <c r="AF102" s="56"/>
      <c r="AG102" s="56"/>
      <c r="AH102" s="56"/>
      <c r="AI102" s="56"/>
      <c r="AJ102" s="56"/>
      <c r="AK102" s="56"/>
      <c r="AL102" s="56"/>
      <c r="AM102" s="56"/>
      <c r="AN102" s="56"/>
      <c r="AO102" s="56"/>
      <c r="AP102" s="56"/>
      <c r="AQ102" s="56"/>
      <c r="AR102" s="56"/>
      <c r="AS102" s="67"/>
      <c r="AT102" s="56"/>
      <c r="AU102" s="56"/>
      <c r="AV102" s="56"/>
      <c r="AW102" s="67"/>
      <c r="AX102" s="56"/>
      <c r="AY102" s="56"/>
      <c r="AZ102" s="67"/>
      <c r="BA102" s="56"/>
      <c r="BB102" s="56"/>
      <c r="BC102" s="67"/>
      <c r="BD102" s="56"/>
      <c r="BE102" s="56"/>
      <c r="BF102" s="67"/>
      <c r="BG102" s="56"/>
      <c r="BH102" s="56"/>
      <c r="BI102" s="67"/>
      <c r="BJ102" s="67"/>
      <c r="BK102" s="67"/>
      <c r="BL102" s="67"/>
      <c r="BM102" s="67"/>
      <c r="BN102" s="56"/>
      <c r="BO102" s="56"/>
      <c r="BP102" s="67"/>
      <c r="BQ102" s="56"/>
      <c r="BR102" s="56"/>
      <c r="BS102" s="67"/>
      <c r="BT102" s="56"/>
      <c r="BU102" s="56"/>
      <c r="BV102" s="67"/>
      <c r="BW102" s="56"/>
      <c r="BX102" s="56"/>
      <c r="BY102" s="67"/>
      <c r="BZ102" s="56"/>
      <c r="CA102" s="56"/>
      <c r="CB102" s="67"/>
      <c r="CC102"/>
      <c r="CD102"/>
      <c r="CE102"/>
      <c r="CF102"/>
      <c r="CG102"/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  <c r="CV102"/>
      <c r="CW102"/>
      <c r="CX102"/>
      <c r="CY102"/>
      <c r="CZ102"/>
      <c r="DA102"/>
      <c r="DB102"/>
      <c r="DC102"/>
      <c r="DD102"/>
      <c r="DE102"/>
      <c r="DF102"/>
      <c r="DG102"/>
      <c r="DH102"/>
      <c r="DI102"/>
      <c r="DJ102"/>
      <c r="DK102"/>
      <c r="DL102"/>
      <c r="DM102"/>
      <c r="DN102"/>
      <c r="DO102"/>
      <c r="DP102"/>
      <c r="DQ102"/>
      <c r="DR102"/>
      <c r="DS102"/>
      <c r="DT102"/>
      <c r="DU102"/>
      <c r="DV102"/>
      <c r="DW102"/>
      <c r="DX102"/>
      <c r="DY102"/>
      <c r="DZ102"/>
      <c r="EA102"/>
      <c r="EB102"/>
      <c r="EC102"/>
      <c r="ED102"/>
      <c r="EE102"/>
      <c r="EF102"/>
      <c r="EG102"/>
      <c r="EH102"/>
      <c r="EI102"/>
      <c r="EJ102"/>
      <c r="EK102"/>
      <c r="EL102"/>
      <c r="EM102"/>
      <c r="EN102"/>
      <c r="EO102"/>
      <c r="EP102"/>
      <c r="EQ102"/>
      <c r="ER102"/>
      <c r="ES102"/>
      <c r="ET102"/>
    </row>
    <row r="103" spans="1:153" ht="15.75" customHeight="1" x14ac:dyDescent="0.25">
      <c r="A103" s="53" t="s">
        <v>111</v>
      </c>
      <c r="B103" s="56"/>
      <c r="C103" s="56" t="s">
        <v>40</v>
      </c>
      <c r="D103" s="56"/>
      <c r="E103" s="56"/>
      <c r="F103" s="56"/>
      <c r="G103" s="56"/>
      <c r="H103" s="56" t="s">
        <v>40</v>
      </c>
      <c r="I103" s="56"/>
      <c r="J103" s="56" t="s">
        <v>40</v>
      </c>
      <c r="K103" s="56"/>
      <c r="L103" s="56" t="s">
        <v>40</v>
      </c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  <c r="AB103" s="56"/>
      <c r="AC103" s="56"/>
      <c r="AD103" s="56"/>
      <c r="AE103" s="56"/>
      <c r="AF103" s="56"/>
      <c r="AG103" s="56"/>
      <c r="AH103" s="56"/>
      <c r="AI103" s="56"/>
      <c r="AJ103" s="56"/>
      <c r="AK103" s="56"/>
      <c r="AL103" s="56"/>
      <c r="AM103" s="56"/>
      <c r="AN103" s="56"/>
      <c r="AO103" s="56"/>
      <c r="AP103" s="56"/>
      <c r="AQ103" s="56"/>
      <c r="AR103" s="56"/>
      <c r="AS103" s="67"/>
      <c r="AT103" s="56"/>
      <c r="AU103" s="56"/>
      <c r="AV103" s="56"/>
      <c r="AW103" s="67"/>
      <c r="AX103" s="56"/>
      <c r="AY103" s="56"/>
      <c r="AZ103" s="67"/>
      <c r="BA103" s="56"/>
      <c r="BB103" s="56"/>
      <c r="BC103" s="67"/>
      <c r="BD103" s="56"/>
      <c r="BE103" s="56"/>
      <c r="BF103" s="67"/>
      <c r="BG103" s="56"/>
      <c r="BH103" s="56"/>
      <c r="BI103" s="67"/>
      <c r="BJ103" s="67"/>
      <c r="BK103" s="67"/>
      <c r="BL103" s="67"/>
      <c r="BM103" s="67"/>
      <c r="BN103" s="56"/>
      <c r="BO103" s="56"/>
      <c r="BP103" s="67"/>
      <c r="BQ103" s="56"/>
      <c r="BR103" s="56"/>
      <c r="BS103" s="67"/>
      <c r="BT103" s="56"/>
      <c r="BU103" s="56"/>
      <c r="BV103" s="67"/>
      <c r="BW103" s="56"/>
      <c r="BX103" s="56"/>
      <c r="BY103" s="67"/>
      <c r="BZ103" s="56"/>
      <c r="CA103" s="56"/>
      <c r="CB103" s="67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/>
      <c r="CY103"/>
      <c r="CZ103"/>
      <c r="DA103"/>
      <c r="DB103"/>
      <c r="DC103"/>
      <c r="DD103"/>
      <c r="DE103"/>
      <c r="DF103"/>
      <c r="DG103"/>
      <c r="DH103"/>
      <c r="DI103"/>
      <c r="DJ103"/>
      <c r="DK103"/>
      <c r="DL103"/>
      <c r="DM103"/>
      <c r="DN103"/>
      <c r="DO103"/>
      <c r="DP103"/>
      <c r="DQ103"/>
      <c r="DR103"/>
      <c r="DS103"/>
      <c r="DT103"/>
      <c r="DU103"/>
      <c r="DV103"/>
      <c r="DW103"/>
      <c r="DX103"/>
      <c r="DY103"/>
      <c r="DZ103"/>
      <c r="EA103"/>
      <c r="EB103"/>
      <c r="EC103"/>
      <c r="ED103"/>
      <c r="EE103"/>
      <c r="EF103"/>
      <c r="EG103"/>
      <c r="EH103"/>
      <c r="EI103"/>
      <c r="EJ103"/>
      <c r="EK103"/>
      <c r="EL103"/>
      <c r="EM103"/>
      <c r="EN103"/>
      <c r="EO103"/>
      <c r="EP103"/>
      <c r="EQ103"/>
      <c r="ER103"/>
      <c r="ES103"/>
      <c r="ET103"/>
    </row>
    <row r="104" spans="1:153" ht="15.75" customHeight="1" x14ac:dyDescent="0.25">
      <c r="A104" s="53" t="s">
        <v>112</v>
      </c>
      <c r="B104" s="56"/>
      <c r="C104" s="56"/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  <c r="AC104" s="56"/>
      <c r="AD104" s="56"/>
      <c r="AE104" s="56"/>
      <c r="AF104" s="56"/>
      <c r="AG104" s="56"/>
      <c r="AH104" s="56"/>
      <c r="AI104" s="56"/>
      <c r="AJ104" s="56"/>
      <c r="AK104" s="56"/>
      <c r="AL104" s="56"/>
      <c r="AM104" s="56"/>
      <c r="AN104" s="56"/>
      <c r="AO104" s="56"/>
      <c r="AP104" s="56"/>
      <c r="AQ104" s="56"/>
      <c r="AR104" s="56"/>
      <c r="AS104" s="67"/>
      <c r="AT104" s="56"/>
      <c r="AU104" s="56"/>
      <c r="AV104" s="56"/>
      <c r="AW104" s="67"/>
      <c r="AX104" s="56"/>
      <c r="AY104" s="56"/>
      <c r="AZ104" s="67"/>
      <c r="BA104" s="56"/>
      <c r="BB104" s="56"/>
      <c r="BC104" s="67"/>
      <c r="BD104" s="56"/>
      <c r="BE104" s="56"/>
      <c r="BF104" s="67"/>
      <c r="BG104" s="56"/>
      <c r="BH104" s="56"/>
      <c r="BI104" s="67"/>
      <c r="BJ104" s="67"/>
      <c r="BK104" s="67"/>
      <c r="BL104" s="67"/>
      <c r="BM104" s="67"/>
      <c r="BN104" s="56"/>
      <c r="BO104" s="56"/>
      <c r="BP104" s="67"/>
      <c r="BQ104" s="56"/>
      <c r="BR104" s="56"/>
      <c r="BS104" s="67"/>
      <c r="BT104" s="56"/>
      <c r="BU104" s="56"/>
      <c r="BV104" s="67"/>
      <c r="BW104" s="56"/>
      <c r="BX104" s="56"/>
      <c r="BY104" s="67"/>
      <c r="BZ104" s="56"/>
      <c r="CA104" s="56"/>
      <c r="CB104" s="67"/>
      <c r="CC104"/>
      <c r="CD104"/>
      <c r="CE104"/>
      <c r="CF104"/>
      <c r="CG104"/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CW104"/>
      <c r="CX104"/>
      <c r="CY104"/>
      <c r="CZ104"/>
      <c r="DA104"/>
      <c r="DB104"/>
      <c r="DC104"/>
      <c r="DD104"/>
      <c r="DE104"/>
      <c r="DF104"/>
      <c r="DG104"/>
      <c r="DH104"/>
      <c r="DI104"/>
      <c r="DJ104"/>
      <c r="DK104"/>
      <c r="DL104"/>
      <c r="DM104"/>
      <c r="DN104"/>
      <c r="DO104"/>
      <c r="DP104"/>
      <c r="DQ104"/>
      <c r="DR104"/>
      <c r="DS104"/>
      <c r="DT104"/>
      <c r="DU104"/>
      <c r="DV104"/>
      <c r="DW104"/>
      <c r="DX104"/>
      <c r="DY104"/>
      <c r="DZ104"/>
      <c r="EA104"/>
      <c r="EB104"/>
      <c r="EC104"/>
      <c r="ED104"/>
      <c r="EE104"/>
      <c r="EF104"/>
      <c r="EG104"/>
      <c r="EH104"/>
      <c r="EI104"/>
      <c r="EJ104"/>
      <c r="EK104"/>
      <c r="EL104"/>
      <c r="EM104"/>
      <c r="EN104"/>
      <c r="EO104"/>
      <c r="EP104"/>
      <c r="EQ104"/>
      <c r="ER104"/>
      <c r="ES104"/>
      <c r="ET104"/>
    </row>
    <row r="105" spans="1:153" ht="15.75" customHeight="1" x14ac:dyDescent="0.25">
      <c r="A105" s="53" t="s">
        <v>113</v>
      </c>
      <c r="B105" s="56"/>
      <c r="C105" s="56"/>
      <c r="D105" s="56"/>
      <c r="E105" s="56"/>
      <c r="F105" s="56"/>
      <c r="G105" s="56"/>
      <c r="H105" s="56"/>
      <c r="I105" s="56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  <c r="AA105" s="56"/>
      <c r="AB105" s="56"/>
      <c r="AC105" s="56"/>
      <c r="AD105" s="56"/>
      <c r="AE105" s="56"/>
      <c r="AF105" s="56"/>
      <c r="AG105" s="56"/>
      <c r="AH105" s="56"/>
      <c r="AI105" s="56"/>
      <c r="AJ105" s="56"/>
      <c r="AK105" s="56"/>
      <c r="AL105" s="56"/>
      <c r="AM105" s="56"/>
      <c r="AN105" s="56"/>
      <c r="AO105" s="56"/>
      <c r="AP105" s="56"/>
      <c r="AQ105" s="56"/>
      <c r="AR105" s="56"/>
      <c r="AS105" s="67"/>
      <c r="AT105" s="56"/>
      <c r="AU105" s="56"/>
      <c r="AV105" s="56"/>
      <c r="AW105" s="67"/>
      <c r="AX105" s="56"/>
      <c r="AY105" s="56"/>
      <c r="AZ105" s="67"/>
      <c r="BA105" s="56"/>
      <c r="BB105" s="56"/>
      <c r="BC105" s="67"/>
      <c r="BD105" s="56"/>
      <c r="BE105" s="56"/>
      <c r="BF105" s="67"/>
      <c r="BG105" s="56"/>
      <c r="BH105" s="56"/>
      <c r="BI105" s="67"/>
      <c r="BJ105" s="67"/>
      <c r="BK105" s="67"/>
      <c r="BL105" s="67"/>
      <c r="BM105" s="67"/>
      <c r="BN105" s="56"/>
      <c r="BO105" s="56"/>
      <c r="BP105" s="67"/>
      <c r="BQ105" s="56"/>
      <c r="BR105" s="56"/>
      <c r="BS105" s="67"/>
      <c r="BT105" s="56"/>
      <c r="BU105" s="56"/>
      <c r="BV105" s="67"/>
      <c r="BW105" s="56"/>
      <c r="BX105" s="56"/>
      <c r="BY105" s="67"/>
      <c r="BZ105" s="56"/>
      <c r="CA105" s="56"/>
      <c r="CB105" s="67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  <c r="CY105"/>
      <c r="CZ105"/>
      <c r="DA105"/>
      <c r="DB105"/>
      <c r="DC105"/>
      <c r="DD105"/>
      <c r="DE105"/>
      <c r="DF105"/>
      <c r="DG105"/>
      <c r="DH105"/>
      <c r="DI105"/>
      <c r="DJ105"/>
      <c r="DK105"/>
      <c r="DL105"/>
      <c r="DM105"/>
      <c r="DN105"/>
      <c r="DO105"/>
      <c r="DP105"/>
      <c r="DQ105"/>
      <c r="DR105"/>
      <c r="DS105"/>
      <c r="DT105"/>
      <c r="DU105"/>
      <c r="DV105"/>
      <c r="DW105"/>
      <c r="DX105"/>
      <c r="DY105"/>
      <c r="DZ105"/>
      <c r="EA105"/>
      <c r="EB105"/>
      <c r="EC105"/>
      <c r="ED105"/>
      <c r="EE105"/>
      <c r="EF105"/>
      <c r="EG105"/>
      <c r="EH105"/>
      <c r="EI105"/>
      <c r="EJ105"/>
      <c r="EK105"/>
      <c r="EL105"/>
      <c r="EM105"/>
      <c r="EN105"/>
      <c r="EO105"/>
      <c r="EP105"/>
      <c r="EQ105"/>
      <c r="ER105"/>
      <c r="ES105"/>
      <c r="ET105"/>
    </row>
    <row r="106" spans="1:153" ht="15.75" customHeight="1" x14ac:dyDescent="0.25">
      <c r="A106" s="53" t="s">
        <v>114</v>
      </c>
      <c r="B106" s="56"/>
      <c r="C106" s="56"/>
      <c r="D106" s="56"/>
      <c r="E106" s="56"/>
      <c r="F106" s="56"/>
      <c r="G106" s="56"/>
      <c r="H106" s="56"/>
      <c r="I106" s="56"/>
      <c r="J106" s="56"/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  <c r="AA106" s="56"/>
      <c r="AB106" s="56"/>
      <c r="AC106" s="56"/>
      <c r="AD106" s="56"/>
      <c r="AE106" s="56"/>
      <c r="AF106" s="56"/>
      <c r="AG106" s="56"/>
      <c r="AH106" s="56"/>
      <c r="AI106" s="56"/>
      <c r="AJ106" s="56"/>
      <c r="AK106" s="56"/>
      <c r="AL106" s="56"/>
      <c r="AM106" s="56"/>
      <c r="AN106" s="56"/>
      <c r="AO106" s="56"/>
      <c r="AP106" s="56"/>
      <c r="AQ106" s="56"/>
      <c r="AR106" s="56"/>
      <c r="AS106" s="67"/>
      <c r="AT106" s="56"/>
      <c r="AU106" s="56"/>
      <c r="AV106" s="56"/>
      <c r="AW106" s="67"/>
      <c r="AX106" s="56"/>
      <c r="AY106" s="56"/>
      <c r="AZ106" s="67"/>
      <c r="BA106" s="56"/>
      <c r="BB106" s="56"/>
      <c r="BC106" s="67"/>
      <c r="BD106" s="56"/>
      <c r="BE106" s="56"/>
      <c r="BF106" s="67"/>
      <c r="BG106" s="56"/>
      <c r="BH106" s="56"/>
      <c r="BI106" s="67"/>
      <c r="BJ106" s="67"/>
      <c r="BK106" s="67"/>
      <c r="BL106" s="67"/>
      <c r="BM106" s="67"/>
      <c r="BN106" s="56"/>
      <c r="BO106" s="56"/>
      <c r="BP106" s="67"/>
      <c r="BQ106" s="56"/>
      <c r="BR106" s="56"/>
      <c r="BS106" s="67"/>
      <c r="BT106" s="56"/>
      <c r="BU106" s="56"/>
      <c r="BV106" s="67"/>
      <c r="BW106" s="56"/>
      <c r="BX106" s="56"/>
      <c r="BY106" s="67"/>
      <c r="BZ106" s="56"/>
      <c r="CA106" s="56"/>
      <c r="CB106" s="67"/>
      <c r="CC106"/>
      <c r="CD106"/>
      <c r="CE106"/>
      <c r="CF106"/>
      <c r="CG106"/>
      <c r="CH106"/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  <c r="CW106"/>
      <c r="CX106"/>
      <c r="CY106"/>
      <c r="CZ106"/>
      <c r="DA106"/>
      <c r="DB106"/>
      <c r="DC106"/>
      <c r="DD106"/>
      <c r="DE106"/>
      <c r="DF106"/>
      <c r="DG106"/>
      <c r="DH106"/>
      <c r="DI106"/>
      <c r="DJ106"/>
      <c r="DK106"/>
      <c r="DL106"/>
      <c r="DM106"/>
      <c r="DN106"/>
      <c r="DO106"/>
      <c r="DP106"/>
      <c r="DQ106"/>
      <c r="DR106"/>
      <c r="DS106"/>
      <c r="DT106"/>
      <c r="DU106"/>
      <c r="DV106"/>
      <c r="DW106"/>
      <c r="DX106"/>
      <c r="DY106"/>
      <c r="DZ106"/>
      <c r="EA106"/>
      <c r="EB106"/>
      <c r="EC106"/>
      <c r="ED106"/>
      <c r="EE106"/>
      <c r="EF106"/>
      <c r="EG106"/>
      <c r="EH106"/>
      <c r="EI106"/>
      <c r="EJ106"/>
      <c r="EK106"/>
      <c r="EL106"/>
      <c r="EM106"/>
      <c r="EN106"/>
      <c r="EO106"/>
      <c r="EP106"/>
      <c r="EQ106"/>
      <c r="ER106"/>
      <c r="ES106"/>
      <c r="ET106"/>
    </row>
    <row r="107" spans="1:153" ht="15.75" customHeight="1" x14ac:dyDescent="0.25">
      <c r="A107" s="53" t="s">
        <v>115</v>
      </c>
      <c r="B107" s="56"/>
      <c r="C107" s="56"/>
      <c r="D107" s="56"/>
      <c r="E107" s="56"/>
      <c r="F107" s="56"/>
      <c r="G107" s="56"/>
      <c r="H107" s="56"/>
      <c r="I107" s="56"/>
      <c r="J107" s="56"/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  <c r="AA107" s="56"/>
      <c r="AB107" s="56"/>
      <c r="AC107" s="56"/>
      <c r="AD107" s="56"/>
      <c r="AE107" s="56"/>
      <c r="AF107" s="56"/>
      <c r="AG107" s="56"/>
      <c r="AH107" s="56"/>
      <c r="AI107" s="56"/>
      <c r="AJ107" s="56"/>
      <c r="AK107" s="56"/>
      <c r="AL107" s="56"/>
      <c r="AM107" s="56"/>
      <c r="AN107" s="56"/>
      <c r="AO107" s="56"/>
      <c r="AP107" s="56"/>
      <c r="AQ107" s="56"/>
      <c r="AR107" s="56"/>
      <c r="AS107" s="67"/>
      <c r="AT107" s="56"/>
      <c r="AU107" s="56"/>
      <c r="AV107" s="56"/>
      <c r="AW107" s="67"/>
      <c r="AX107" s="56"/>
      <c r="AY107" s="56"/>
      <c r="AZ107" s="67"/>
      <c r="BA107" s="56"/>
      <c r="BB107" s="56"/>
      <c r="BC107" s="67"/>
      <c r="BD107" s="56"/>
      <c r="BE107" s="56"/>
      <c r="BF107" s="67"/>
      <c r="BG107" s="56"/>
      <c r="BH107" s="56"/>
      <c r="BI107" s="67"/>
      <c r="BJ107" s="67"/>
      <c r="BK107" s="67"/>
      <c r="BL107" s="67"/>
      <c r="BM107" s="67"/>
      <c r="BN107" s="56"/>
      <c r="BO107" s="56"/>
      <c r="BP107" s="67"/>
      <c r="BQ107" s="56"/>
      <c r="BR107" s="56"/>
      <c r="BS107" s="67"/>
      <c r="BT107" s="56"/>
      <c r="BU107" s="56"/>
      <c r="BV107" s="67"/>
      <c r="BW107" s="56"/>
      <c r="BX107" s="56"/>
      <c r="BY107" s="67"/>
      <c r="BZ107" s="56"/>
      <c r="CA107" s="56"/>
      <c r="CB107" s="67"/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CW107"/>
      <c r="CX107"/>
      <c r="CY107"/>
      <c r="CZ107"/>
      <c r="DA107"/>
      <c r="DB107"/>
      <c r="DC107"/>
      <c r="DD107"/>
      <c r="DE107"/>
      <c r="DF107"/>
      <c r="DG107"/>
      <c r="DH107"/>
      <c r="DI107"/>
      <c r="DJ107"/>
      <c r="DK107"/>
      <c r="DL107"/>
      <c r="DM107"/>
      <c r="DN107"/>
      <c r="DO107"/>
      <c r="DP107"/>
      <c r="DQ107"/>
      <c r="DR107"/>
      <c r="DS107"/>
      <c r="DT107"/>
      <c r="DU107"/>
      <c r="DV107"/>
      <c r="DW107"/>
      <c r="DX107"/>
      <c r="DY107"/>
      <c r="DZ107"/>
      <c r="EA107"/>
      <c r="EB107"/>
      <c r="EC107"/>
      <c r="ED107"/>
      <c r="EE107"/>
      <c r="EF107"/>
      <c r="EG107"/>
      <c r="EH107"/>
      <c r="EI107"/>
      <c r="EJ107"/>
      <c r="EK107"/>
      <c r="EL107"/>
      <c r="EM107"/>
      <c r="EN107"/>
      <c r="EO107"/>
      <c r="EP107"/>
      <c r="EQ107"/>
      <c r="ER107"/>
      <c r="ES107"/>
      <c r="ET107"/>
    </row>
    <row r="108" spans="1:153" ht="15.75" customHeight="1" x14ac:dyDescent="0.25">
      <c r="A108" s="53" t="s">
        <v>116</v>
      </c>
      <c r="B108" s="56"/>
      <c r="C108" s="56"/>
      <c r="D108" s="56"/>
      <c r="E108" s="56"/>
      <c r="F108" s="56"/>
      <c r="G108" s="56"/>
      <c r="H108" s="56"/>
      <c r="I108" s="56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  <c r="AA108" s="56"/>
      <c r="AB108" s="56"/>
      <c r="AC108" s="56"/>
      <c r="AD108" s="56"/>
      <c r="AE108" s="56"/>
      <c r="AF108" s="56"/>
      <c r="AG108" s="56"/>
      <c r="AH108" s="56"/>
      <c r="AI108" s="56"/>
      <c r="AJ108" s="56"/>
      <c r="AK108" s="56"/>
      <c r="AL108" s="56"/>
      <c r="AM108" s="56"/>
      <c r="AN108" s="56"/>
      <c r="AO108" s="56"/>
      <c r="AP108" s="56"/>
      <c r="AQ108" s="56"/>
      <c r="AR108" s="56"/>
      <c r="AS108" s="67"/>
      <c r="AT108" s="56"/>
      <c r="AU108" s="56"/>
      <c r="AV108" s="56"/>
      <c r="AW108" s="67"/>
      <c r="AX108" s="56"/>
      <c r="AY108" s="56"/>
      <c r="AZ108" s="67"/>
      <c r="BA108" s="56"/>
      <c r="BB108" s="56"/>
      <c r="BC108" s="67"/>
      <c r="BD108" s="56"/>
      <c r="BE108" s="56"/>
      <c r="BF108" s="67"/>
      <c r="BG108" s="56"/>
      <c r="BH108" s="56"/>
      <c r="BI108" s="67"/>
      <c r="BJ108" s="67"/>
      <c r="BK108" s="67"/>
      <c r="BL108" s="67"/>
      <c r="BM108" s="67"/>
      <c r="BN108" s="56"/>
      <c r="BO108" s="56"/>
      <c r="BP108" s="67"/>
      <c r="BQ108" s="56"/>
      <c r="BR108" s="56"/>
      <c r="BS108" s="67"/>
      <c r="BT108" s="56"/>
      <c r="BU108" s="56"/>
      <c r="BV108" s="67"/>
      <c r="BW108" s="56"/>
      <c r="BX108" s="56"/>
      <c r="BY108" s="67"/>
      <c r="BZ108" s="56"/>
      <c r="CA108" s="56"/>
      <c r="CB108" s="67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CW108"/>
      <c r="CX108"/>
      <c r="CY108"/>
      <c r="CZ108"/>
      <c r="DA108"/>
      <c r="DB108"/>
      <c r="DC108"/>
      <c r="DD108"/>
      <c r="DE108"/>
      <c r="DF108"/>
      <c r="DG108"/>
      <c r="DH108"/>
      <c r="DI108"/>
      <c r="DJ108"/>
      <c r="DK108"/>
      <c r="DL108"/>
      <c r="DM108"/>
      <c r="DN108"/>
      <c r="DO108"/>
      <c r="DP108"/>
      <c r="DQ108"/>
      <c r="DR108"/>
      <c r="DS108"/>
      <c r="DT108"/>
      <c r="DU108"/>
      <c r="DV108"/>
      <c r="DW108"/>
      <c r="DX108"/>
      <c r="DY108"/>
      <c r="DZ108"/>
      <c r="EA108"/>
      <c r="EB108"/>
      <c r="EC108"/>
      <c r="ED108"/>
      <c r="EE108"/>
      <c r="EF108"/>
      <c r="EG108"/>
      <c r="EH108"/>
      <c r="EI108"/>
      <c r="EJ108"/>
      <c r="EK108"/>
      <c r="EL108"/>
      <c r="EM108"/>
      <c r="EN108"/>
      <c r="EO108"/>
      <c r="EP108"/>
      <c r="EQ108"/>
      <c r="ER108"/>
      <c r="ES108"/>
      <c r="ET108"/>
    </row>
    <row r="109" spans="1:153" ht="15" customHeight="1" x14ac:dyDescent="0.25">
      <c r="A109" s="53" t="s">
        <v>117</v>
      </c>
      <c r="B109" s="56" t="s">
        <v>40</v>
      </c>
      <c r="C109" s="56" t="s">
        <v>40</v>
      </c>
      <c r="D109" s="56"/>
      <c r="E109" s="56"/>
      <c r="F109" s="56"/>
      <c r="G109" s="56" t="s">
        <v>40</v>
      </c>
      <c r="H109" s="56" t="s">
        <v>40</v>
      </c>
      <c r="I109" s="56" t="s">
        <v>40</v>
      </c>
      <c r="J109" s="56" t="s">
        <v>40</v>
      </c>
      <c r="K109" s="56" t="s">
        <v>40</v>
      </c>
      <c r="L109" s="56" t="s">
        <v>40</v>
      </c>
      <c r="M109" s="56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  <c r="AA109" s="56"/>
      <c r="AB109" s="56"/>
      <c r="AC109" s="56"/>
      <c r="AD109" s="56"/>
      <c r="AE109" s="56"/>
      <c r="AF109" s="56"/>
      <c r="AG109" s="56"/>
      <c r="AH109" s="56"/>
      <c r="AI109" s="56"/>
      <c r="AJ109" s="56"/>
      <c r="AK109" s="56"/>
      <c r="AL109" s="56"/>
      <c r="AM109" s="56"/>
      <c r="AN109" s="56"/>
      <c r="AO109" s="56"/>
      <c r="AP109" s="56"/>
      <c r="AQ109" s="56"/>
      <c r="AR109" s="58"/>
      <c r="AS109" s="59"/>
      <c r="AT109" s="58"/>
      <c r="AU109" s="58"/>
      <c r="AV109" s="58"/>
      <c r="AW109" s="59"/>
      <c r="AX109" s="58"/>
      <c r="AY109" s="58"/>
      <c r="AZ109" s="59"/>
      <c r="BA109" s="58"/>
      <c r="BB109" s="58"/>
      <c r="BC109" s="59"/>
      <c r="BD109" s="58"/>
      <c r="BE109" s="58"/>
      <c r="BF109" s="59"/>
      <c r="BG109" s="58"/>
      <c r="BH109" s="58"/>
      <c r="BI109" s="59"/>
      <c r="BJ109" s="59"/>
      <c r="BK109" s="59"/>
      <c r="BL109" s="59"/>
      <c r="BM109" s="59"/>
      <c r="BN109" s="58"/>
      <c r="BO109" s="58"/>
      <c r="BP109" s="59"/>
      <c r="BQ109" s="58"/>
      <c r="BR109" s="58"/>
      <c r="BS109" s="59"/>
      <c r="BT109" s="58"/>
      <c r="BU109" s="58"/>
      <c r="BV109" s="59"/>
      <c r="BW109" s="58"/>
      <c r="BX109" s="58"/>
      <c r="BY109" s="59"/>
      <c r="BZ109" s="58"/>
      <c r="CA109" s="58"/>
      <c r="CB109" s="5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/>
      <c r="CZ109"/>
      <c r="DA109"/>
      <c r="DB109"/>
      <c r="DC109"/>
      <c r="DD109"/>
      <c r="DE109"/>
      <c r="DF109"/>
      <c r="DG109"/>
      <c r="DH109"/>
      <c r="DI109"/>
      <c r="DJ109"/>
      <c r="DK109"/>
      <c r="DL109"/>
      <c r="DM109"/>
      <c r="DN109"/>
      <c r="DO109"/>
      <c r="DP109"/>
      <c r="DQ109"/>
      <c r="DR109"/>
      <c r="DS109"/>
      <c r="DT109"/>
      <c r="DU109"/>
      <c r="DV109"/>
      <c r="DW109"/>
      <c r="DX109"/>
      <c r="DY109"/>
      <c r="DZ109"/>
      <c r="EA109"/>
      <c r="EB109"/>
      <c r="EC109"/>
      <c r="ED109"/>
      <c r="EE109"/>
      <c r="EF109"/>
      <c r="EG109"/>
      <c r="EH109"/>
      <c r="EI109"/>
      <c r="EJ109"/>
      <c r="EK109"/>
      <c r="EL109"/>
      <c r="EM109"/>
      <c r="EN109"/>
      <c r="EO109"/>
      <c r="EP109"/>
      <c r="EQ109"/>
      <c r="ER109"/>
      <c r="ES109"/>
      <c r="ET109"/>
    </row>
    <row r="110" spans="1:153" ht="15" customHeight="1" x14ac:dyDescent="0.3">
      <c r="A110" s="54" t="s">
        <v>118</v>
      </c>
      <c r="B110" s="57"/>
      <c r="C110" s="57"/>
      <c r="D110" s="57"/>
      <c r="E110" s="57"/>
      <c r="F110" s="57"/>
      <c r="G110" s="57"/>
      <c r="H110" s="57"/>
      <c r="I110" s="57"/>
      <c r="J110" s="57"/>
      <c r="K110" s="57"/>
      <c r="L110" s="57"/>
      <c r="M110" s="57"/>
      <c r="N110" s="57"/>
      <c r="O110" s="57"/>
      <c r="P110" s="57"/>
      <c r="Q110" s="57"/>
      <c r="R110" s="57"/>
      <c r="S110" s="57"/>
      <c r="T110" s="57"/>
      <c r="U110" s="57"/>
      <c r="V110" s="57"/>
      <c r="W110" s="57"/>
      <c r="X110" s="57"/>
      <c r="Y110" s="57"/>
      <c r="Z110" s="57"/>
      <c r="AA110" s="57"/>
      <c r="AB110" s="57"/>
      <c r="AC110" s="57"/>
      <c r="AD110" s="57"/>
      <c r="AE110" s="57"/>
      <c r="AF110" s="57"/>
      <c r="AG110" s="57"/>
      <c r="AH110" s="57"/>
      <c r="AI110" s="57"/>
      <c r="AJ110" s="57"/>
      <c r="AK110" s="57"/>
      <c r="AL110" s="57"/>
      <c r="AM110" s="57"/>
      <c r="AN110" s="57"/>
      <c r="AO110" s="57"/>
      <c r="AP110" s="57"/>
      <c r="AQ110" s="57"/>
      <c r="AR110" s="57"/>
      <c r="AS110" s="57"/>
      <c r="AT110" s="57"/>
      <c r="AU110" s="57"/>
      <c r="AV110" s="57"/>
      <c r="AW110" s="57"/>
      <c r="AX110" s="57"/>
      <c r="AY110" s="57"/>
      <c r="AZ110" s="57"/>
      <c r="BA110" s="57"/>
      <c r="BB110" s="57"/>
      <c r="BC110" s="57"/>
      <c r="BD110" s="57"/>
      <c r="BE110" s="57"/>
      <c r="BF110" s="57"/>
      <c r="BG110" s="57"/>
      <c r="BH110" s="57"/>
      <c r="BI110" s="57"/>
      <c r="BJ110" s="57"/>
      <c r="BK110" s="57"/>
      <c r="BL110" s="57"/>
      <c r="BM110" s="57"/>
      <c r="BN110" s="57"/>
      <c r="BO110" s="57"/>
      <c r="BP110" s="57"/>
      <c r="BQ110" s="57"/>
      <c r="BR110" s="57"/>
      <c r="BS110" s="57"/>
      <c r="BT110" s="57"/>
      <c r="BU110" s="57"/>
      <c r="BV110" s="57"/>
      <c r="BW110" s="57"/>
      <c r="BX110" s="57"/>
      <c r="BY110" s="57"/>
      <c r="BZ110" s="57"/>
      <c r="CA110" s="57"/>
      <c r="CB110" s="57"/>
      <c r="EU110" s="30"/>
      <c r="EV110" s="30"/>
      <c r="EW110" s="30"/>
    </row>
    <row r="111" spans="1:153" ht="15" x14ac:dyDescent="0.25">
      <c r="A111" s="55" t="s">
        <v>119</v>
      </c>
      <c r="B111" s="65"/>
      <c r="C111" s="65"/>
      <c r="D111" s="65"/>
      <c r="E111" s="65"/>
      <c r="F111" s="65"/>
      <c r="G111" s="65"/>
      <c r="H111" s="65"/>
      <c r="I111" s="65"/>
      <c r="J111" s="65"/>
      <c r="K111" s="65"/>
      <c r="L111" s="65"/>
      <c r="M111" s="65"/>
      <c r="N111" s="65"/>
      <c r="O111" s="65"/>
      <c r="P111" s="65"/>
      <c r="Q111" s="65"/>
      <c r="R111" s="65"/>
      <c r="S111" s="65"/>
      <c r="T111" s="65"/>
      <c r="U111" s="65"/>
      <c r="V111" s="65"/>
      <c r="W111" s="65"/>
      <c r="X111" s="65"/>
      <c r="Y111" s="65"/>
      <c r="Z111" s="65"/>
      <c r="AA111" s="65"/>
      <c r="AB111" s="65"/>
      <c r="AC111" s="65"/>
      <c r="AD111" s="65"/>
      <c r="AE111" s="65"/>
      <c r="AF111" s="65"/>
      <c r="AG111" s="65"/>
      <c r="AH111" s="65"/>
      <c r="AI111" s="65"/>
      <c r="AJ111" s="65"/>
      <c r="AK111" s="65"/>
      <c r="AL111" s="65"/>
      <c r="AM111" s="65"/>
      <c r="AN111" s="65"/>
      <c r="AO111" s="65"/>
      <c r="AP111" s="65"/>
      <c r="AQ111" s="65"/>
      <c r="AR111" s="59" t="s">
        <v>40</v>
      </c>
      <c r="AS111" s="58"/>
      <c r="AT111" s="59" t="s">
        <v>40</v>
      </c>
      <c r="AU111" s="59"/>
      <c r="AV111" s="58"/>
      <c r="AW111" s="59" t="s">
        <v>40</v>
      </c>
      <c r="AX111" s="58"/>
      <c r="AY111" s="59"/>
      <c r="AZ111" s="58"/>
      <c r="BA111" s="59" t="s">
        <v>40</v>
      </c>
      <c r="BB111" s="58"/>
      <c r="BC111" s="59"/>
      <c r="BD111" s="58"/>
      <c r="BE111" s="59"/>
      <c r="BF111" s="58"/>
      <c r="BG111" s="59"/>
      <c r="BH111" s="58"/>
      <c r="BI111" s="59"/>
      <c r="BJ111" s="59"/>
      <c r="BK111" s="59"/>
      <c r="BL111" s="59"/>
      <c r="BM111" s="59" t="s">
        <v>40</v>
      </c>
      <c r="BN111" s="58"/>
      <c r="BO111" s="59"/>
      <c r="BP111" s="58"/>
      <c r="BQ111" s="59" t="s">
        <v>40</v>
      </c>
      <c r="BR111" s="58"/>
      <c r="BS111" s="59"/>
      <c r="BT111" s="58"/>
      <c r="BU111" s="59" t="s">
        <v>40</v>
      </c>
      <c r="BV111" s="58"/>
      <c r="BW111" s="59"/>
      <c r="BX111" s="58"/>
      <c r="BY111" s="59"/>
      <c r="BZ111" s="58"/>
      <c r="CA111" s="59"/>
      <c r="CB111" s="58"/>
      <c r="EU111" s="30"/>
      <c r="EV111" s="30"/>
      <c r="EW111" s="30"/>
    </row>
    <row r="112" spans="1:153" ht="15" x14ac:dyDescent="0.25">
      <c r="A112" s="55" t="s">
        <v>120</v>
      </c>
      <c r="B112" s="65"/>
      <c r="C112" s="65"/>
      <c r="D112" s="65"/>
      <c r="E112" s="65"/>
      <c r="F112" s="65"/>
      <c r="G112" s="65"/>
      <c r="H112" s="65"/>
      <c r="I112" s="65"/>
      <c r="J112" s="65"/>
      <c r="K112" s="65"/>
      <c r="L112" s="65"/>
      <c r="M112" s="65"/>
      <c r="N112" s="65"/>
      <c r="O112" s="65"/>
      <c r="P112" s="65"/>
      <c r="Q112" s="65"/>
      <c r="R112" s="65"/>
      <c r="S112" s="65"/>
      <c r="T112" s="65"/>
      <c r="U112" s="65"/>
      <c r="V112" s="65"/>
      <c r="W112" s="65"/>
      <c r="X112" s="65"/>
      <c r="Y112" s="65"/>
      <c r="Z112" s="65"/>
      <c r="AA112" s="65"/>
      <c r="AB112" s="65"/>
      <c r="AC112" s="65"/>
      <c r="AD112" s="65"/>
      <c r="AE112" s="65"/>
      <c r="AF112" s="65"/>
      <c r="AG112" s="65"/>
      <c r="AH112" s="65"/>
      <c r="AI112" s="65"/>
      <c r="AJ112" s="65"/>
      <c r="AK112" s="65"/>
      <c r="AL112" s="65"/>
      <c r="AM112" s="65"/>
      <c r="AN112" s="65"/>
      <c r="AO112" s="65"/>
      <c r="AP112" s="65"/>
      <c r="AQ112" s="65"/>
      <c r="AR112" s="59" t="s">
        <v>40</v>
      </c>
      <c r="AS112" s="59"/>
      <c r="AT112" s="59" t="s">
        <v>40</v>
      </c>
      <c r="AU112" s="59"/>
      <c r="AV112" s="59"/>
      <c r="AW112" s="59" t="s">
        <v>40</v>
      </c>
      <c r="AX112" s="59"/>
      <c r="AY112" s="59"/>
      <c r="AZ112" s="59"/>
      <c r="BA112" s="59" t="s">
        <v>40</v>
      </c>
      <c r="BB112" s="59"/>
      <c r="BC112" s="59"/>
      <c r="BD112" s="59"/>
      <c r="BE112" s="59"/>
      <c r="BF112" s="59"/>
      <c r="BG112" s="59"/>
      <c r="BH112" s="59"/>
      <c r="BI112" s="59"/>
      <c r="BJ112" s="59"/>
      <c r="BK112" s="59"/>
      <c r="BL112" s="59"/>
      <c r="BM112" s="59" t="s">
        <v>40</v>
      </c>
      <c r="BN112" s="59"/>
      <c r="BO112" s="59"/>
      <c r="BP112" s="59"/>
      <c r="BQ112" s="59" t="s">
        <v>40</v>
      </c>
      <c r="BR112" s="59"/>
      <c r="BS112" s="59"/>
      <c r="BT112" s="59"/>
      <c r="BU112" s="59" t="s">
        <v>40</v>
      </c>
      <c r="BV112" s="59"/>
      <c r="BW112" s="59"/>
      <c r="BX112" s="59"/>
      <c r="BY112" s="59"/>
      <c r="BZ112" s="59"/>
      <c r="CA112" s="59"/>
      <c r="CB112" s="59"/>
      <c r="EU112" s="30"/>
      <c r="EV112" s="30"/>
      <c r="EW112" s="30"/>
    </row>
    <row r="113" spans="1:153" ht="15" x14ac:dyDescent="0.25">
      <c r="A113" s="63" t="s">
        <v>121</v>
      </c>
      <c r="B113" s="66"/>
      <c r="C113" s="66"/>
      <c r="D113" s="66"/>
      <c r="E113" s="66"/>
      <c r="F113" s="66"/>
      <c r="G113" s="66"/>
      <c r="H113" s="66"/>
      <c r="I113" s="66"/>
      <c r="J113" s="66"/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  <c r="AA113" s="66"/>
      <c r="AB113" s="66"/>
      <c r="AC113" s="66"/>
      <c r="AD113" s="66"/>
      <c r="AE113" s="66"/>
      <c r="AF113" s="66"/>
      <c r="AG113" s="66"/>
      <c r="AH113" s="66"/>
      <c r="AI113" s="66"/>
      <c r="AJ113" s="66"/>
      <c r="AK113" s="66"/>
      <c r="AL113" s="66"/>
      <c r="AM113" s="66"/>
      <c r="AN113" s="66"/>
      <c r="AO113" s="66"/>
      <c r="AP113" s="66"/>
      <c r="AQ113" s="66"/>
      <c r="AR113" s="59"/>
      <c r="AS113" s="59" t="s">
        <v>40</v>
      </c>
      <c r="AT113" s="59"/>
      <c r="AU113" s="59"/>
      <c r="AV113" s="59"/>
      <c r="AW113" s="59"/>
      <c r="AX113" s="59" t="s">
        <v>40</v>
      </c>
      <c r="AY113" s="59" t="s">
        <v>40</v>
      </c>
      <c r="AZ113" s="59"/>
      <c r="BA113" s="59"/>
      <c r="BB113" s="59" t="s">
        <v>40</v>
      </c>
      <c r="BC113" s="59" t="s">
        <v>40</v>
      </c>
      <c r="BD113" s="59"/>
      <c r="BE113" s="59"/>
      <c r="BF113" s="59"/>
      <c r="BG113" s="59"/>
      <c r="BH113" s="59"/>
      <c r="BI113" s="59"/>
      <c r="BJ113" s="59"/>
      <c r="BK113" s="59"/>
      <c r="BL113" s="59"/>
      <c r="BM113" s="59"/>
      <c r="BN113" s="59" t="s">
        <v>40</v>
      </c>
      <c r="BO113" s="59" t="s">
        <v>40</v>
      </c>
      <c r="BP113" s="59"/>
      <c r="BQ113" s="59"/>
      <c r="BR113" s="59" t="s">
        <v>40</v>
      </c>
      <c r="BS113" s="59" t="s">
        <v>40</v>
      </c>
      <c r="BT113" s="59"/>
      <c r="BU113" s="59"/>
      <c r="BV113" s="59" t="s">
        <v>40</v>
      </c>
      <c r="BW113" s="59" t="s">
        <v>40</v>
      </c>
      <c r="BX113" s="59"/>
      <c r="BY113" s="59"/>
      <c r="BZ113" s="59"/>
      <c r="CA113" s="59"/>
      <c r="CB113" s="59"/>
      <c r="EU113" s="30"/>
      <c r="EV113" s="30"/>
      <c r="EW113" s="30"/>
    </row>
    <row r="114" spans="1:153" ht="15" x14ac:dyDescent="0.25">
      <c r="A114" s="63" t="s">
        <v>122</v>
      </c>
      <c r="B114" s="66"/>
      <c r="C114" s="66"/>
      <c r="D114" s="66"/>
      <c r="E114" s="66"/>
      <c r="F114" s="66"/>
      <c r="G114" s="66"/>
      <c r="H114" s="66"/>
      <c r="I114" s="66"/>
      <c r="J114" s="66"/>
      <c r="K114" s="66"/>
      <c r="L114" s="66"/>
      <c r="M114" s="66"/>
      <c r="N114" s="66"/>
      <c r="O114" s="66"/>
      <c r="P114" s="66"/>
      <c r="Q114" s="66"/>
      <c r="R114" s="66"/>
      <c r="S114" s="66"/>
      <c r="T114" s="66"/>
      <c r="U114" s="66"/>
      <c r="V114" s="66"/>
      <c r="W114" s="66"/>
      <c r="X114" s="66"/>
      <c r="Y114" s="66"/>
      <c r="Z114" s="66"/>
      <c r="AA114" s="66"/>
      <c r="AB114" s="66"/>
      <c r="AC114" s="66"/>
      <c r="AD114" s="66"/>
      <c r="AE114" s="66"/>
      <c r="AF114" s="66"/>
      <c r="AG114" s="66"/>
      <c r="AH114" s="66"/>
      <c r="AI114" s="66"/>
      <c r="AJ114" s="66"/>
      <c r="AK114" s="66"/>
      <c r="AL114" s="66"/>
      <c r="AM114" s="66"/>
      <c r="AN114" s="66"/>
      <c r="AO114" s="66"/>
      <c r="AP114" s="66"/>
      <c r="AQ114" s="66"/>
      <c r="AR114" s="59"/>
      <c r="AS114" s="59"/>
      <c r="AT114" s="59"/>
      <c r="AU114" s="59"/>
      <c r="AV114" s="59" t="s">
        <v>40</v>
      </c>
      <c r="AW114" s="59"/>
      <c r="AX114" s="59"/>
      <c r="AY114" s="59"/>
      <c r="AZ114" s="59" t="s">
        <v>40</v>
      </c>
      <c r="BA114" s="59"/>
      <c r="BB114" s="59"/>
      <c r="BC114" s="59"/>
      <c r="BD114" s="59" t="s">
        <v>40</v>
      </c>
      <c r="BE114" s="59"/>
      <c r="BF114" s="59"/>
      <c r="BG114" s="59"/>
      <c r="BH114" s="59"/>
      <c r="BI114" s="59"/>
      <c r="BJ114" s="59"/>
      <c r="BK114" s="59"/>
      <c r="BL114" s="59"/>
      <c r="BM114" s="59"/>
      <c r="BN114" s="59"/>
      <c r="BO114" s="59"/>
      <c r="BP114" s="59" t="s">
        <v>40</v>
      </c>
      <c r="BQ114" s="59"/>
      <c r="BR114" s="59"/>
      <c r="BS114" s="59"/>
      <c r="BT114" s="59" t="s">
        <v>40</v>
      </c>
      <c r="BU114" s="59"/>
      <c r="BV114" s="59"/>
      <c r="BW114" s="59"/>
      <c r="BX114" s="59" t="s">
        <v>40</v>
      </c>
      <c r="BY114" s="59"/>
      <c r="BZ114" s="59"/>
      <c r="CA114" s="59"/>
      <c r="CB114" s="59"/>
      <c r="EU114" s="30"/>
      <c r="EV114" s="30"/>
      <c r="EW114" s="30"/>
    </row>
    <row r="115" spans="1:153" s="30" customFormat="1" ht="15" x14ac:dyDescent="0.25">
      <c r="A115" s="63" t="s">
        <v>123</v>
      </c>
      <c r="B115" s="66"/>
      <c r="C115" s="66"/>
      <c r="D115" s="66"/>
      <c r="E115" s="66"/>
      <c r="F115" s="66"/>
      <c r="G115" s="66"/>
      <c r="H115" s="66"/>
      <c r="I115" s="66"/>
      <c r="J115" s="66"/>
      <c r="K115" s="66"/>
      <c r="L115" s="66"/>
      <c r="M115" s="66"/>
      <c r="N115" s="66"/>
      <c r="O115" s="66"/>
      <c r="P115" s="66"/>
      <c r="Q115" s="66"/>
      <c r="R115" s="66"/>
      <c r="S115" s="66"/>
      <c r="T115" s="66"/>
      <c r="U115" s="66"/>
      <c r="V115" s="66"/>
      <c r="W115" s="66"/>
      <c r="X115" s="66"/>
      <c r="Y115" s="66"/>
      <c r="Z115" s="66"/>
      <c r="AA115" s="66"/>
      <c r="AB115" s="66"/>
      <c r="AC115" s="66"/>
      <c r="AD115" s="66"/>
      <c r="AE115" s="66"/>
      <c r="AF115" s="66"/>
      <c r="AG115" s="66"/>
      <c r="AH115" s="66"/>
      <c r="AI115" s="66"/>
      <c r="AJ115" s="66"/>
      <c r="AK115" s="66"/>
      <c r="AL115" s="66"/>
      <c r="AM115" s="66"/>
      <c r="AN115" s="66"/>
      <c r="AO115" s="66"/>
      <c r="AP115" s="66"/>
      <c r="AQ115" s="66"/>
      <c r="AR115" s="59"/>
      <c r="AS115" s="59"/>
      <c r="AT115" s="59"/>
      <c r="AU115" s="59"/>
      <c r="AV115" s="59"/>
      <c r="AW115" s="59"/>
      <c r="AX115" s="59"/>
      <c r="AY115" s="59"/>
      <c r="AZ115" s="59"/>
      <c r="BA115" s="59"/>
      <c r="BB115" s="59"/>
      <c r="BC115" s="59"/>
      <c r="BD115" s="59"/>
      <c r="BE115" s="59"/>
      <c r="BF115" s="59"/>
      <c r="BG115" s="59"/>
      <c r="BH115" s="59"/>
      <c r="BI115" s="59"/>
      <c r="BJ115" s="59"/>
      <c r="BK115" s="59"/>
      <c r="BL115" s="59"/>
      <c r="BM115" s="59"/>
      <c r="BN115" s="59"/>
      <c r="BO115" s="59"/>
      <c r="BP115" s="59"/>
      <c r="BQ115" s="59"/>
      <c r="BR115" s="59"/>
      <c r="BS115" s="59"/>
      <c r="BT115" s="59"/>
      <c r="BU115" s="59"/>
      <c r="BV115" s="59"/>
      <c r="BW115" s="59"/>
      <c r="BX115" s="59"/>
      <c r="BY115" s="59"/>
      <c r="BZ115" s="59"/>
      <c r="CA115" s="59"/>
      <c r="CB115" s="59"/>
    </row>
    <row r="116" spans="1:153" s="30" customFormat="1" ht="15" x14ac:dyDescent="0.25">
      <c r="A116" s="63" t="s">
        <v>124</v>
      </c>
      <c r="B116" s="66"/>
      <c r="C116" s="66"/>
      <c r="D116" s="66"/>
      <c r="E116" s="66"/>
      <c r="F116" s="66"/>
      <c r="G116" s="66"/>
      <c r="H116" s="66"/>
      <c r="I116" s="66"/>
      <c r="J116" s="66"/>
      <c r="K116" s="66"/>
      <c r="L116" s="66"/>
      <c r="M116" s="70" t="s">
        <v>40</v>
      </c>
      <c r="N116" s="70" t="s">
        <v>40</v>
      </c>
      <c r="O116" s="70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  <c r="AA116" s="66"/>
      <c r="AB116" s="66"/>
      <c r="AC116" s="66"/>
      <c r="AD116" s="66"/>
      <c r="AE116" s="66"/>
      <c r="AF116" s="66"/>
      <c r="AG116" s="66"/>
      <c r="AH116" s="66"/>
      <c r="AI116" s="66"/>
      <c r="AJ116" s="66"/>
      <c r="AK116" s="66"/>
      <c r="AL116" s="66"/>
      <c r="AM116" s="66"/>
      <c r="AN116" s="66"/>
      <c r="AO116" s="66"/>
      <c r="AP116" s="66"/>
      <c r="AQ116" s="66"/>
      <c r="AR116" s="59"/>
      <c r="AS116" s="59" t="s">
        <v>40</v>
      </c>
      <c r="AT116" s="59"/>
      <c r="AU116" s="59"/>
      <c r="AV116" s="59"/>
      <c r="AW116" s="59"/>
      <c r="AX116" s="59" t="s">
        <v>40</v>
      </c>
      <c r="AY116" s="59"/>
      <c r="AZ116" s="59"/>
      <c r="BA116" s="59"/>
      <c r="BB116" s="59" t="s">
        <v>40</v>
      </c>
      <c r="BC116" s="59"/>
      <c r="BD116" s="59"/>
      <c r="BE116" s="59"/>
      <c r="BF116" s="59"/>
      <c r="BG116" s="59"/>
      <c r="BH116" s="59"/>
      <c r="BI116" s="59"/>
      <c r="BJ116" s="59"/>
      <c r="BK116" s="59"/>
      <c r="BL116" s="59"/>
      <c r="BM116" s="59"/>
      <c r="BN116" s="59"/>
      <c r="BO116" s="59"/>
      <c r="BP116" s="59"/>
      <c r="BQ116" s="59"/>
      <c r="BR116" s="59"/>
      <c r="BS116" s="59"/>
      <c r="BT116" s="59"/>
      <c r="BU116" s="59"/>
      <c r="BV116" s="59"/>
      <c r="BW116" s="59"/>
      <c r="BX116" s="59"/>
      <c r="BY116" s="59"/>
      <c r="BZ116" s="59"/>
      <c r="CA116" s="59"/>
      <c r="CB116" s="59"/>
    </row>
    <row r="117" spans="1:153" s="30" customFormat="1" ht="15" x14ac:dyDescent="0.25">
      <c r="A117" s="63" t="s">
        <v>125</v>
      </c>
      <c r="B117" s="66"/>
      <c r="C117" s="66"/>
      <c r="D117" s="66"/>
      <c r="E117" s="66"/>
      <c r="F117" s="66"/>
      <c r="G117" s="66"/>
      <c r="H117" s="66"/>
      <c r="I117" s="66"/>
      <c r="J117" s="66"/>
      <c r="K117" s="66"/>
      <c r="L117" s="66"/>
      <c r="M117" s="69" t="s">
        <v>40</v>
      </c>
      <c r="N117" s="69" t="s">
        <v>40</v>
      </c>
      <c r="O117" s="70" t="s">
        <v>40</v>
      </c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  <c r="AA117" s="66"/>
      <c r="AB117" s="66"/>
      <c r="AC117" s="66"/>
      <c r="AD117" s="66"/>
      <c r="AE117" s="66"/>
      <c r="AF117" s="66"/>
      <c r="AG117" s="66"/>
      <c r="AH117" s="66"/>
      <c r="AI117" s="66"/>
      <c r="AJ117" s="66"/>
      <c r="AK117" s="66"/>
      <c r="AL117" s="66"/>
      <c r="AM117" s="66"/>
      <c r="AN117" s="66"/>
      <c r="AO117" s="66"/>
      <c r="AP117" s="66"/>
      <c r="AQ117" s="66"/>
      <c r="AR117" s="59"/>
      <c r="AS117" s="59"/>
      <c r="AT117" s="59"/>
      <c r="AU117" s="59"/>
      <c r="AV117" s="59"/>
      <c r="AW117" s="59"/>
      <c r="AX117" s="59"/>
      <c r="AY117" s="59"/>
      <c r="AZ117" s="59"/>
      <c r="BA117" s="59"/>
      <c r="BB117" s="59"/>
      <c r="BC117" s="59"/>
      <c r="BD117" s="59"/>
      <c r="BE117" s="59"/>
      <c r="BF117" s="59"/>
      <c r="BG117" s="59"/>
      <c r="BH117" s="59"/>
      <c r="BI117" s="59"/>
      <c r="BJ117" s="59"/>
      <c r="BK117" s="59"/>
      <c r="BL117" s="59"/>
      <c r="BM117" s="59"/>
      <c r="BN117" s="59"/>
      <c r="BO117" s="59"/>
      <c r="BP117" s="59"/>
      <c r="BQ117" s="59"/>
      <c r="BR117" s="59"/>
      <c r="BS117" s="59"/>
      <c r="BT117" s="59"/>
      <c r="BU117" s="59"/>
      <c r="BV117" s="59"/>
      <c r="BW117" s="59"/>
      <c r="BX117" s="59"/>
      <c r="BY117" s="59"/>
      <c r="BZ117" s="59"/>
      <c r="CA117" s="59"/>
      <c r="CB117" s="59"/>
    </row>
    <row r="118" spans="1:153" s="30" customFormat="1" ht="15" x14ac:dyDescent="0.25">
      <c r="A118" s="55" t="s">
        <v>126</v>
      </c>
      <c r="B118" s="68" t="s">
        <v>40</v>
      </c>
      <c r="C118" s="68" t="s">
        <v>40</v>
      </c>
      <c r="D118" s="68"/>
      <c r="E118" s="68"/>
      <c r="F118" s="68"/>
      <c r="G118" s="68" t="s">
        <v>40</v>
      </c>
      <c r="H118" s="68" t="s">
        <v>40</v>
      </c>
      <c r="I118" s="68" t="s">
        <v>40</v>
      </c>
      <c r="J118" s="68"/>
      <c r="K118" s="68"/>
      <c r="L118" s="68"/>
      <c r="M118" s="68"/>
      <c r="N118" s="68"/>
      <c r="O118" s="68"/>
      <c r="P118" s="68"/>
      <c r="Q118" s="68"/>
      <c r="R118" s="65"/>
      <c r="S118" s="65"/>
      <c r="T118" s="65"/>
      <c r="U118" s="65"/>
      <c r="V118" s="65"/>
      <c r="W118" s="65"/>
      <c r="X118" s="65"/>
      <c r="Y118" s="65"/>
      <c r="Z118" s="65"/>
      <c r="AA118" s="65"/>
      <c r="AB118" s="65"/>
      <c r="AC118" s="65"/>
      <c r="AD118" s="65"/>
      <c r="AE118" s="65"/>
      <c r="AF118" s="65"/>
      <c r="AG118" s="65"/>
      <c r="AH118" s="65"/>
      <c r="AI118" s="65"/>
      <c r="AJ118" s="65"/>
      <c r="AK118" s="65"/>
      <c r="AL118" s="65"/>
      <c r="AM118" s="65"/>
      <c r="AN118" s="65"/>
      <c r="AO118" s="65"/>
      <c r="AP118" s="65"/>
      <c r="AQ118" s="65"/>
      <c r="AR118" s="59" t="s">
        <v>40</v>
      </c>
      <c r="AS118" s="59"/>
      <c r="AT118" s="59" t="s">
        <v>40</v>
      </c>
      <c r="AU118" s="59"/>
      <c r="AV118" s="59"/>
      <c r="AW118" s="59" t="s">
        <v>40</v>
      </c>
      <c r="AX118" s="59"/>
      <c r="AY118" s="59"/>
      <c r="AZ118" s="59"/>
      <c r="BA118" s="59" t="s">
        <v>40</v>
      </c>
      <c r="BB118" s="59"/>
      <c r="BC118" s="59"/>
      <c r="BD118" s="59"/>
      <c r="BE118" s="59" t="s">
        <v>40</v>
      </c>
      <c r="BF118" s="59"/>
      <c r="BG118" s="59"/>
      <c r="BH118" s="59"/>
      <c r="BI118" s="59"/>
      <c r="BJ118" s="59"/>
      <c r="BK118" s="59"/>
      <c r="BL118" s="59"/>
      <c r="BM118" s="59"/>
      <c r="BN118" s="59"/>
      <c r="BO118" s="59"/>
      <c r="BP118" s="59"/>
      <c r="BQ118" s="59"/>
      <c r="BR118" s="59"/>
      <c r="BS118" s="59"/>
      <c r="BT118" s="59"/>
      <c r="BU118" s="59"/>
      <c r="BV118" s="59"/>
      <c r="BW118" s="59"/>
      <c r="BX118" s="59"/>
      <c r="BY118" s="59" t="s">
        <v>40</v>
      </c>
      <c r="BZ118" s="59"/>
      <c r="CA118" s="59"/>
      <c r="CB118" s="59"/>
    </row>
    <row r="119" spans="1:153" s="30" customFormat="1" ht="15" x14ac:dyDescent="0.25">
      <c r="A119" s="55" t="s">
        <v>127</v>
      </c>
      <c r="B119" s="68" t="s">
        <v>40</v>
      </c>
      <c r="C119" s="68" t="s">
        <v>40</v>
      </c>
      <c r="D119" s="68"/>
      <c r="E119" s="68"/>
      <c r="F119" s="68"/>
      <c r="G119" s="68" t="s">
        <v>40</v>
      </c>
      <c r="H119" s="68" t="s">
        <v>40</v>
      </c>
      <c r="I119" s="68" t="s">
        <v>40</v>
      </c>
      <c r="J119" s="68"/>
      <c r="K119" s="68"/>
      <c r="L119" s="68"/>
      <c r="M119" s="68"/>
      <c r="N119" s="68"/>
      <c r="O119" s="68"/>
      <c r="P119" s="68"/>
      <c r="Q119" s="68"/>
      <c r="R119" s="65"/>
      <c r="S119" s="65"/>
      <c r="T119" s="65"/>
      <c r="U119" s="65"/>
      <c r="V119" s="65"/>
      <c r="W119" s="65"/>
      <c r="X119" s="65"/>
      <c r="Y119" s="65"/>
      <c r="Z119" s="65"/>
      <c r="AA119" s="65"/>
      <c r="AB119" s="65"/>
      <c r="AC119" s="65"/>
      <c r="AD119" s="65"/>
      <c r="AE119" s="65"/>
      <c r="AF119" s="65"/>
      <c r="AG119" s="65"/>
      <c r="AH119" s="65"/>
      <c r="AI119" s="65"/>
      <c r="AJ119" s="65"/>
      <c r="AK119" s="65"/>
      <c r="AL119" s="65"/>
      <c r="AM119" s="65"/>
      <c r="AN119" s="65"/>
      <c r="AO119" s="65"/>
      <c r="AP119" s="65"/>
      <c r="AQ119" s="65"/>
      <c r="AR119" s="59" t="s">
        <v>40</v>
      </c>
      <c r="AS119" s="59"/>
      <c r="AT119" s="59" t="s">
        <v>40</v>
      </c>
      <c r="AU119" s="59"/>
      <c r="AV119" s="59"/>
      <c r="AW119" s="59" t="s">
        <v>40</v>
      </c>
      <c r="AX119" s="59"/>
      <c r="AY119" s="59"/>
      <c r="AZ119" s="59"/>
      <c r="BA119" s="59" t="s">
        <v>40</v>
      </c>
      <c r="BB119" s="59"/>
      <c r="BC119" s="59"/>
      <c r="BD119" s="59"/>
      <c r="BE119" s="59" t="s">
        <v>40</v>
      </c>
      <c r="BF119" s="59"/>
      <c r="BG119" s="59"/>
      <c r="BH119" s="59"/>
      <c r="BI119" s="59"/>
      <c r="BJ119" s="59"/>
      <c r="BK119" s="59"/>
      <c r="BL119" s="59"/>
      <c r="BM119" s="59"/>
      <c r="BN119" s="59"/>
      <c r="BO119" s="59"/>
      <c r="BP119" s="59"/>
      <c r="BQ119" s="59"/>
      <c r="BR119" s="59"/>
      <c r="BS119" s="59"/>
      <c r="BT119" s="59"/>
      <c r="BU119" s="59"/>
      <c r="BV119" s="59"/>
      <c r="BW119" s="59"/>
      <c r="BX119" s="59"/>
      <c r="BY119" s="59" t="s">
        <v>40</v>
      </c>
      <c r="BZ119" s="59"/>
      <c r="CA119" s="59"/>
      <c r="CB119" s="59"/>
    </row>
    <row r="120" spans="1:153" s="30" customFormat="1" ht="27.6" x14ac:dyDescent="0.25">
      <c r="A120" s="55" t="s">
        <v>128</v>
      </c>
      <c r="B120" s="68" t="s">
        <v>40</v>
      </c>
      <c r="C120" s="68"/>
      <c r="D120" s="68"/>
      <c r="E120" s="68"/>
      <c r="F120" s="68"/>
      <c r="G120" s="68"/>
      <c r="H120" s="68"/>
      <c r="I120" s="68"/>
      <c r="J120" s="68"/>
      <c r="K120" s="68"/>
      <c r="L120" s="68"/>
      <c r="M120" s="68"/>
      <c r="N120" s="68"/>
      <c r="O120" s="68"/>
      <c r="P120" s="68"/>
      <c r="Q120" s="68"/>
      <c r="R120" s="65"/>
      <c r="S120" s="65"/>
      <c r="T120" s="65"/>
      <c r="U120" s="65"/>
      <c r="V120" s="65"/>
      <c r="W120" s="65"/>
      <c r="X120" s="65"/>
      <c r="Y120" s="65"/>
      <c r="Z120" s="65"/>
      <c r="AA120" s="65"/>
      <c r="AB120" s="65"/>
      <c r="AC120" s="65"/>
      <c r="AD120" s="65"/>
      <c r="AE120" s="65"/>
      <c r="AF120" s="65"/>
      <c r="AG120" s="65"/>
      <c r="AH120" s="65"/>
      <c r="AI120" s="65"/>
      <c r="AJ120" s="65"/>
      <c r="AK120" s="65"/>
      <c r="AL120" s="65"/>
      <c r="AM120" s="65"/>
      <c r="AN120" s="65"/>
      <c r="AO120" s="65"/>
      <c r="AP120" s="65"/>
      <c r="AQ120" s="65"/>
      <c r="AR120" s="59" t="s">
        <v>40</v>
      </c>
      <c r="AS120" s="59"/>
      <c r="AT120" s="59" t="s">
        <v>40</v>
      </c>
      <c r="AU120" s="59"/>
      <c r="AV120" s="59"/>
      <c r="AW120" s="59" t="s">
        <v>40</v>
      </c>
      <c r="AX120" s="59"/>
      <c r="AY120" s="59"/>
      <c r="AZ120" s="59"/>
      <c r="BA120" s="59" t="s">
        <v>40</v>
      </c>
      <c r="BB120" s="59"/>
      <c r="BC120" s="59"/>
      <c r="BD120" s="59"/>
      <c r="BE120" s="59" t="s">
        <v>40</v>
      </c>
      <c r="BF120" s="59"/>
      <c r="BG120" s="59"/>
      <c r="BH120" s="59"/>
      <c r="BI120" s="59" t="s">
        <v>40</v>
      </c>
      <c r="BJ120" s="59"/>
      <c r="BK120" s="59"/>
      <c r="BL120" s="59"/>
      <c r="BM120" s="59"/>
      <c r="BN120" s="59"/>
      <c r="BO120" s="59"/>
      <c r="BP120" s="59"/>
      <c r="BQ120" s="59"/>
      <c r="BR120" s="59"/>
      <c r="BS120" s="59"/>
      <c r="BT120" s="59"/>
      <c r="BU120" s="59"/>
      <c r="BV120" s="59"/>
      <c r="BW120" s="59"/>
      <c r="BX120" s="59"/>
      <c r="BY120" s="59" t="s">
        <v>40</v>
      </c>
      <c r="BZ120" s="59"/>
      <c r="CA120" s="59"/>
      <c r="CB120" s="59"/>
    </row>
    <row r="121" spans="1:153" s="30" customFormat="1" ht="27.6" x14ac:dyDescent="0.25">
      <c r="A121" s="55" t="s">
        <v>129</v>
      </c>
      <c r="B121" s="68"/>
      <c r="C121" s="68" t="s">
        <v>40</v>
      </c>
      <c r="D121" s="68"/>
      <c r="E121" s="68"/>
      <c r="F121" s="68"/>
      <c r="G121" s="68"/>
      <c r="H121" s="68"/>
      <c r="I121" s="68"/>
      <c r="J121" s="68"/>
      <c r="K121" s="68"/>
      <c r="L121" s="68"/>
      <c r="M121" s="68"/>
      <c r="N121" s="68"/>
      <c r="O121" s="68"/>
      <c r="P121" s="68"/>
      <c r="Q121" s="68"/>
      <c r="R121" s="65"/>
      <c r="S121" s="65"/>
      <c r="T121" s="65"/>
      <c r="U121" s="65"/>
      <c r="V121" s="65"/>
      <c r="W121" s="65"/>
      <c r="X121" s="65"/>
      <c r="Y121" s="65"/>
      <c r="Z121" s="65"/>
      <c r="AA121" s="65"/>
      <c r="AB121" s="65"/>
      <c r="AC121" s="65"/>
      <c r="AD121" s="65"/>
      <c r="AE121" s="65"/>
      <c r="AF121" s="65"/>
      <c r="AG121" s="65"/>
      <c r="AH121" s="65"/>
      <c r="AI121" s="65"/>
      <c r="AJ121" s="65"/>
      <c r="AK121" s="65"/>
      <c r="AL121" s="65"/>
      <c r="AM121" s="65"/>
      <c r="AN121" s="65"/>
      <c r="AO121" s="65"/>
      <c r="AP121" s="65"/>
      <c r="AQ121" s="65"/>
      <c r="AR121" s="59"/>
      <c r="AS121" s="59"/>
      <c r="AT121" s="59"/>
      <c r="AU121" s="59"/>
      <c r="AV121" s="59"/>
      <c r="AW121" s="59"/>
      <c r="AX121" s="59"/>
      <c r="AY121" s="59"/>
      <c r="AZ121" s="59"/>
      <c r="BA121" s="59"/>
      <c r="BB121" s="59"/>
      <c r="BC121" s="59"/>
      <c r="BD121" s="59"/>
      <c r="BE121" s="59"/>
      <c r="BF121" s="59"/>
      <c r="BG121" s="59"/>
      <c r="BH121" s="59"/>
      <c r="BI121" s="59"/>
      <c r="BJ121" s="59" t="s">
        <v>40</v>
      </c>
      <c r="BK121" s="59"/>
      <c r="BL121" s="59"/>
      <c r="BM121" s="59"/>
      <c r="BN121" s="59"/>
      <c r="BO121" s="59"/>
      <c r="BP121" s="59"/>
      <c r="BQ121" s="59"/>
      <c r="BR121" s="59"/>
      <c r="BS121" s="59"/>
      <c r="BT121" s="59"/>
      <c r="BU121" s="59"/>
      <c r="BV121" s="59"/>
      <c r="BW121" s="59"/>
      <c r="BX121" s="59"/>
      <c r="BY121" s="59"/>
      <c r="BZ121" s="59"/>
      <c r="CA121" s="59"/>
      <c r="CB121" s="59"/>
    </row>
    <row r="122" spans="1:153" s="30" customFormat="1" ht="27.6" x14ac:dyDescent="0.25">
      <c r="A122" s="55" t="s">
        <v>130</v>
      </c>
      <c r="B122" s="65"/>
      <c r="C122" s="65"/>
      <c r="D122" s="65"/>
      <c r="E122" s="65"/>
      <c r="F122" s="65"/>
      <c r="G122" s="68" t="s">
        <v>40</v>
      </c>
      <c r="H122" s="65"/>
      <c r="I122" s="65"/>
      <c r="J122" s="65"/>
      <c r="K122" s="65"/>
      <c r="L122" s="65"/>
      <c r="M122" s="65"/>
      <c r="N122" s="65"/>
      <c r="O122" s="65"/>
      <c r="P122" s="65"/>
      <c r="Q122" s="65"/>
      <c r="R122" s="65"/>
      <c r="S122" s="65"/>
      <c r="T122" s="65"/>
      <c r="U122" s="65"/>
      <c r="V122" s="65"/>
      <c r="W122" s="65"/>
      <c r="X122" s="65"/>
      <c r="Y122" s="65"/>
      <c r="Z122" s="65"/>
      <c r="AA122" s="65"/>
      <c r="AB122" s="65"/>
      <c r="AC122" s="65"/>
      <c r="AD122" s="65"/>
      <c r="AE122" s="65"/>
      <c r="AF122" s="65"/>
      <c r="AG122" s="65"/>
      <c r="AH122" s="65"/>
      <c r="AI122" s="65"/>
      <c r="AJ122" s="65"/>
      <c r="AK122" s="65"/>
      <c r="AL122" s="65"/>
      <c r="AM122" s="65"/>
      <c r="AN122" s="65"/>
      <c r="AO122" s="65"/>
      <c r="AP122" s="65"/>
      <c r="AQ122" s="65"/>
      <c r="AR122" s="59"/>
      <c r="AS122" s="59"/>
      <c r="AT122" s="59"/>
      <c r="AU122" s="59"/>
      <c r="AV122" s="59"/>
      <c r="AW122" s="59"/>
      <c r="AX122" s="59"/>
      <c r="AY122" s="59"/>
      <c r="AZ122" s="59"/>
      <c r="BA122" s="59"/>
      <c r="BB122" s="59"/>
      <c r="BC122" s="59"/>
      <c r="BD122" s="59"/>
      <c r="BE122" s="59"/>
      <c r="BF122" s="59"/>
      <c r="BG122" s="59"/>
      <c r="BH122" s="59"/>
      <c r="BI122" s="59"/>
      <c r="BJ122" s="59"/>
      <c r="BK122" s="59" t="s">
        <v>40</v>
      </c>
      <c r="BL122" s="59"/>
      <c r="BM122" s="59"/>
      <c r="BN122" s="59"/>
      <c r="BO122" s="59"/>
      <c r="BP122" s="59"/>
      <c r="BQ122" s="59"/>
      <c r="BR122" s="59"/>
      <c r="BS122" s="59"/>
      <c r="BT122" s="59"/>
      <c r="BU122" s="59"/>
      <c r="BV122" s="59"/>
      <c r="BW122" s="59"/>
      <c r="BX122" s="59"/>
      <c r="BY122" s="59"/>
      <c r="BZ122" s="59"/>
      <c r="CA122" s="59"/>
      <c r="CB122" s="59"/>
    </row>
    <row r="123" spans="1:153" s="30" customFormat="1" ht="27.6" x14ac:dyDescent="0.25">
      <c r="A123" s="55" t="s">
        <v>131</v>
      </c>
      <c r="B123" s="65"/>
      <c r="C123" s="65"/>
      <c r="D123" s="65"/>
      <c r="E123" s="65"/>
      <c r="F123" s="65"/>
      <c r="G123" s="65"/>
      <c r="H123" s="68" t="s">
        <v>40</v>
      </c>
      <c r="I123" s="65"/>
      <c r="J123" s="65"/>
      <c r="K123" s="65"/>
      <c r="L123" s="65"/>
      <c r="M123" s="65"/>
      <c r="N123" s="65"/>
      <c r="O123" s="65"/>
      <c r="P123" s="65"/>
      <c r="Q123" s="65"/>
      <c r="R123" s="65"/>
      <c r="S123" s="65"/>
      <c r="T123" s="65"/>
      <c r="U123" s="65"/>
      <c r="V123" s="65"/>
      <c r="W123" s="65"/>
      <c r="X123" s="65"/>
      <c r="Y123" s="65"/>
      <c r="Z123" s="65"/>
      <c r="AA123" s="65"/>
      <c r="AB123" s="65"/>
      <c r="AC123" s="65"/>
      <c r="AD123" s="65"/>
      <c r="AE123" s="65"/>
      <c r="AF123" s="65"/>
      <c r="AG123" s="65"/>
      <c r="AH123" s="65"/>
      <c r="AI123" s="65"/>
      <c r="AJ123" s="65"/>
      <c r="AK123" s="65"/>
      <c r="AL123" s="65"/>
      <c r="AM123" s="65"/>
      <c r="AN123" s="65"/>
      <c r="AO123" s="65"/>
      <c r="AP123" s="65"/>
      <c r="AQ123" s="65"/>
      <c r="AR123" s="59"/>
      <c r="AS123" s="59"/>
      <c r="AT123" s="59"/>
      <c r="AU123" s="59"/>
      <c r="AV123" s="59"/>
      <c r="AW123" s="59"/>
      <c r="AX123" s="59"/>
      <c r="AY123" s="59"/>
      <c r="AZ123" s="59"/>
      <c r="BA123" s="59"/>
      <c r="BB123" s="59"/>
      <c r="BC123" s="59"/>
      <c r="BD123" s="59"/>
      <c r="BE123" s="59"/>
      <c r="BF123" s="59"/>
      <c r="BG123" s="59"/>
      <c r="BH123" s="59"/>
      <c r="BI123" s="59"/>
      <c r="BJ123" s="59"/>
      <c r="BK123" s="59"/>
      <c r="BL123" s="59" t="s">
        <v>40</v>
      </c>
      <c r="BM123" s="59"/>
      <c r="BN123" s="59"/>
      <c r="BO123" s="59"/>
      <c r="BP123" s="59"/>
      <c r="BQ123" s="59"/>
      <c r="BR123" s="59"/>
      <c r="BS123" s="59"/>
      <c r="BT123" s="59"/>
      <c r="BU123" s="59"/>
      <c r="BV123" s="59"/>
      <c r="BW123" s="59"/>
      <c r="BX123" s="59"/>
      <c r="BY123" s="59"/>
      <c r="BZ123" s="59"/>
      <c r="CA123" s="59"/>
      <c r="CB123" s="59"/>
    </row>
    <row r="124" spans="1:153" s="30" customFormat="1" ht="15" x14ac:dyDescent="0.25">
      <c r="A124" s="63" t="s">
        <v>132</v>
      </c>
      <c r="B124" s="66"/>
      <c r="C124" s="66"/>
      <c r="D124" s="70" t="s">
        <v>40</v>
      </c>
      <c r="E124" s="70" t="s">
        <v>40</v>
      </c>
      <c r="F124" s="66"/>
      <c r="G124" s="66"/>
      <c r="H124" s="66"/>
      <c r="I124" s="66"/>
      <c r="J124" s="66"/>
      <c r="K124" s="66"/>
      <c r="L124" s="66"/>
      <c r="M124" s="66"/>
      <c r="N124" s="66"/>
      <c r="O124" s="70" t="s">
        <v>40</v>
      </c>
      <c r="P124" s="70" t="s">
        <v>40</v>
      </c>
      <c r="Q124" s="66"/>
      <c r="R124" s="66"/>
      <c r="S124" s="66"/>
      <c r="T124" s="66"/>
      <c r="U124" s="66"/>
      <c r="V124" s="66"/>
      <c r="W124" s="66"/>
      <c r="X124" s="66"/>
      <c r="Y124" s="66"/>
      <c r="Z124" s="66"/>
      <c r="AA124" s="66"/>
      <c r="AB124" s="66"/>
      <c r="AC124" s="66"/>
      <c r="AD124" s="66"/>
      <c r="AE124" s="66"/>
      <c r="AF124" s="66"/>
      <c r="AG124" s="66"/>
      <c r="AH124" s="66"/>
      <c r="AI124" s="66"/>
      <c r="AJ124" s="66"/>
      <c r="AK124" s="66"/>
      <c r="AL124" s="66"/>
      <c r="AM124" s="66"/>
      <c r="AN124" s="66"/>
      <c r="AO124" s="66"/>
      <c r="AP124" s="66"/>
      <c r="AQ124" s="66"/>
      <c r="AR124" s="59"/>
      <c r="AS124" s="59"/>
      <c r="AT124" s="59"/>
      <c r="AU124" s="59"/>
      <c r="AV124" s="59" t="s">
        <v>40</v>
      </c>
      <c r="AW124" s="59"/>
      <c r="AX124" s="59"/>
      <c r="AY124" s="59"/>
      <c r="AZ124" s="59" t="s">
        <v>40</v>
      </c>
      <c r="BA124" s="59"/>
      <c r="BB124" s="59"/>
      <c r="BC124" s="59"/>
      <c r="BD124" s="59" t="s">
        <v>40</v>
      </c>
      <c r="BE124" s="59"/>
      <c r="BF124" s="59" t="s">
        <v>40</v>
      </c>
      <c r="BG124" s="59" t="s">
        <v>40</v>
      </c>
      <c r="BH124" s="59" t="s">
        <v>40</v>
      </c>
      <c r="BI124" s="59"/>
      <c r="BJ124" s="59"/>
      <c r="BK124" s="59"/>
      <c r="BL124" s="59"/>
      <c r="BM124" s="59"/>
      <c r="BN124" s="59"/>
      <c r="BO124" s="59"/>
      <c r="BP124" s="59"/>
      <c r="BQ124" s="59"/>
      <c r="BR124" s="59"/>
      <c r="BS124" s="59"/>
      <c r="BT124" s="59"/>
      <c r="BU124" s="59"/>
      <c r="BV124" s="59"/>
      <c r="BW124" s="59"/>
      <c r="BX124" s="59"/>
      <c r="BY124" s="59"/>
      <c r="BZ124" s="59" t="s">
        <v>40</v>
      </c>
      <c r="CA124" s="59" t="s">
        <v>40</v>
      </c>
      <c r="CB124" s="59" t="s">
        <v>40</v>
      </c>
    </row>
    <row r="125" spans="1:153" s="30" customFormat="1" ht="15" x14ac:dyDescent="0.25">
      <c r="A125" s="55" t="s">
        <v>133</v>
      </c>
      <c r="B125" s="65"/>
      <c r="C125" s="65"/>
      <c r="D125" s="65"/>
      <c r="E125" s="65"/>
      <c r="F125" s="65"/>
      <c r="G125" s="65"/>
      <c r="H125" s="65"/>
      <c r="I125" s="65"/>
      <c r="J125" s="68" t="s">
        <v>40</v>
      </c>
      <c r="K125" s="65"/>
      <c r="L125" s="65"/>
    </row>
    <row r="126" spans="1:153" s="30" customFormat="1" ht="15" x14ac:dyDescent="0.25">
      <c r="A126" s="55" t="s">
        <v>134</v>
      </c>
      <c r="B126" s="65"/>
      <c r="C126" s="65"/>
      <c r="D126" s="65"/>
      <c r="E126" s="65"/>
      <c r="F126" s="65"/>
      <c r="G126" s="65"/>
      <c r="H126" s="65"/>
      <c r="I126" s="65"/>
      <c r="J126" s="65"/>
      <c r="K126" s="68" t="s">
        <v>40</v>
      </c>
      <c r="L126" s="65"/>
    </row>
    <row r="127" spans="1:153" s="30" customFormat="1" ht="15" x14ac:dyDescent="0.25">
      <c r="A127" s="55" t="s">
        <v>135</v>
      </c>
      <c r="B127" s="65"/>
      <c r="C127" s="65"/>
      <c r="D127" s="65"/>
      <c r="E127" s="65"/>
      <c r="F127" s="65"/>
      <c r="G127" s="65"/>
      <c r="H127" s="65"/>
      <c r="I127" s="65"/>
      <c r="J127" s="65"/>
      <c r="K127" s="65"/>
      <c r="L127" s="68" t="s">
        <v>40</v>
      </c>
    </row>
    <row r="128" spans="1:153" s="30" customFormat="1" x14ac:dyDescent="0.25"/>
    <row r="129" s="30" customFormat="1" x14ac:dyDescent="0.25"/>
    <row r="130" s="30" customFormat="1" x14ac:dyDescent="0.25"/>
    <row r="131" s="30" customFormat="1" x14ac:dyDescent="0.25"/>
    <row r="132" s="30" customFormat="1" x14ac:dyDescent="0.25"/>
    <row r="133" s="30" customFormat="1" x14ac:dyDescent="0.25"/>
    <row r="134" s="30" customFormat="1" x14ac:dyDescent="0.25"/>
    <row r="135" s="30" customFormat="1" x14ac:dyDescent="0.25"/>
    <row r="136" s="30" customFormat="1" x14ac:dyDescent="0.25"/>
    <row r="137" s="30" customFormat="1" x14ac:dyDescent="0.25"/>
    <row r="138" s="30" customFormat="1" x14ac:dyDescent="0.25"/>
    <row r="139" s="30" customFormat="1" x14ac:dyDescent="0.25"/>
    <row r="140" s="30" customFormat="1" x14ac:dyDescent="0.25"/>
    <row r="141" s="30" customFormat="1" x14ac:dyDescent="0.25"/>
    <row r="142" s="30" customFormat="1" x14ac:dyDescent="0.25"/>
    <row r="143" s="30" customFormat="1" x14ac:dyDescent="0.25"/>
    <row r="144" s="30" customFormat="1" x14ac:dyDescent="0.25"/>
    <row r="145" s="30" customFormat="1" x14ac:dyDescent="0.25"/>
    <row r="146" s="30" customFormat="1" x14ac:dyDescent="0.25"/>
    <row r="147" s="30" customFormat="1" x14ac:dyDescent="0.25"/>
    <row r="148" s="30" customFormat="1" x14ac:dyDescent="0.25"/>
    <row r="149" s="30" customFormat="1" x14ac:dyDescent="0.25"/>
    <row r="150" s="30" customFormat="1" x14ac:dyDescent="0.25"/>
    <row r="151" s="30" customFormat="1" x14ac:dyDescent="0.25"/>
    <row r="152" s="30" customFormat="1" x14ac:dyDescent="0.25"/>
    <row r="153" s="30" customFormat="1" x14ac:dyDescent="0.25"/>
    <row r="154" s="30" customFormat="1" x14ac:dyDescent="0.25"/>
    <row r="155" s="30" customFormat="1" x14ac:dyDescent="0.25"/>
    <row r="156" s="30" customFormat="1" x14ac:dyDescent="0.25"/>
    <row r="157" s="30" customFormat="1" x14ac:dyDescent="0.25"/>
    <row r="158" s="30" customFormat="1" x14ac:dyDescent="0.25"/>
    <row r="159" s="30" customFormat="1" x14ac:dyDescent="0.25"/>
    <row r="160" s="30" customFormat="1" x14ac:dyDescent="0.25"/>
    <row r="161" s="30" customFormat="1" x14ac:dyDescent="0.25"/>
    <row r="162" s="30" customFormat="1" x14ac:dyDescent="0.25"/>
    <row r="163" s="30" customFormat="1" x14ac:dyDescent="0.25"/>
    <row r="164" s="30" customFormat="1" x14ac:dyDescent="0.25"/>
    <row r="165" s="30" customFormat="1" x14ac:dyDescent="0.25"/>
    <row r="166" s="30" customFormat="1" x14ac:dyDescent="0.25"/>
    <row r="167" s="30" customFormat="1" x14ac:dyDescent="0.25"/>
    <row r="168" s="30" customFormat="1" x14ac:dyDescent="0.25"/>
    <row r="169" s="30" customFormat="1" x14ac:dyDescent="0.25"/>
    <row r="170" s="30" customFormat="1" x14ac:dyDescent="0.25"/>
    <row r="171" s="30" customFormat="1" x14ac:dyDescent="0.25"/>
    <row r="172" s="30" customFormat="1" x14ac:dyDescent="0.25"/>
    <row r="173" s="30" customFormat="1" x14ac:dyDescent="0.25"/>
    <row r="174" s="30" customFormat="1" x14ac:dyDescent="0.25"/>
    <row r="175" s="30" customFormat="1" x14ac:dyDescent="0.25"/>
    <row r="176" s="30" customFormat="1" x14ac:dyDescent="0.25"/>
    <row r="177" s="30" customFormat="1" x14ac:dyDescent="0.25"/>
    <row r="178" s="30" customFormat="1" x14ac:dyDescent="0.25"/>
    <row r="179" s="30" customFormat="1" x14ac:dyDescent="0.25"/>
    <row r="180" s="30" customFormat="1" x14ac:dyDescent="0.25"/>
    <row r="181" s="30" customFormat="1" x14ac:dyDescent="0.25"/>
    <row r="182" s="30" customFormat="1" x14ac:dyDescent="0.25"/>
    <row r="183" s="30" customFormat="1" x14ac:dyDescent="0.25"/>
    <row r="184" s="30" customFormat="1" x14ac:dyDescent="0.25"/>
    <row r="185" s="30" customFormat="1" x14ac:dyDescent="0.25"/>
    <row r="186" s="30" customFormat="1" x14ac:dyDescent="0.25"/>
    <row r="187" s="30" customFormat="1" x14ac:dyDescent="0.25"/>
    <row r="188" s="30" customFormat="1" x14ac:dyDescent="0.25"/>
    <row r="189" s="30" customFormat="1" x14ac:dyDescent="0.25"/>
    <row r="190" s="30" customFormat="1" x14ac:dyDescent="0.25"/>
    <row r="191" s="30" customFormat="1" x14ac:dyDescent="0.25"/>
    <row r="192" s="30" customFormat="1" x14ac:dyDescent="0.25"/>
    <row r="193" s="30" customFormat="1" x14ac:dyDescent="0.25"/>
    <row r="194" s="30" customFormat="1" x14ac:dyDescent="0.25"/>
    <row r="195" s="30" customFormat="1" x14ac:dyDescent="0.25"/>
    <row r="196" s="30" customFormat="1" x14ac:dyDescent="0.25"/>
    <row r="197" s="30" customFormat="1" x14ac:dyDescent="0.25"/>
    <row r="198" s="30" customFormat="1" x14ac:dyDescent="0.25"/>
    <row r="199" s="30" customFormat="1" x14ac:dyDescent="0.25"/>
    <row r="200" s="30" customFormat="1" x14ac:dyDescent="0.25"/>
    <row r="201" s="30" customFormat="1" x14ac:dyDescent="0.25"/>
    <row r="202" s="30" customFormat="1" x14ac:dyDescent="0.25"/>
    <row r="203" s="30" customFormat="1" x14ac:dyDescent="0.25"/>
    <row r="204" s="30" customFormat="1" x14ac:dyDescent="0.25"/>
    <row r="205" s="30" customFormat="1" x14ac:dyDescent="0.25"/>
    <row r="206" s="30" customFormat="1" x14ac:dyDescent="0.25"/>
    <row r="207" s="30" customFormat="1" x14ac:dyDescent="0.25"/>
    <row r="208" s="30" customFormat="1" x14ac:dyDescent="0.25"/>
    <row r="209" s="30" customFormat="1" x14ac:dyDescent="0.25"/>
    <row r="210" s="30" customFormat="1" x14ac:dyDescent="0.25"/>
    <row r="211" s="30" customFormat="1" x14ac:dyDescent="0.25"/>
    <row r="212" s="30" customFormat="1" x14ac:dyDescent="0.25"/>
    <row r="213" s="30" customFormat="1" x14ac:dyDescent="0.25"/>
    <row r="214" s="30" customFormat="1" x14ac:dyDescent="0.25"/>
    <row r="215" s="30" customFormat="1" x14ac:dyDescent="0.25"/>
    <row r="216" s="30" customFormat="1" x14ac:dyDescent="0.25"/>
    <row r="217" s="30" customFormat="1" x14ac:dyDescent="0.25"/>
    <row r="218" s="30" customFormat="1" x14ac:dyDescent="0.25"/>
    <row r="219" s="30" customFormat="1" x14ac:dyDescent="0.25"/>
    <row r="220" s="30" customFormat="1" x14ac:dyDescent="0.25"/>
    <row r="221" s="30" customFormat="1" x14ac:dyDescent="0.25"/>
    <row r="222" s="30" customFormat="1" x14ac:dyDescent="0.25"/>
    <row r="223" s="30" customFormat="1" x14ac:dyDescent="0.25"/>
    <row r="224" s="30" customFormat="1" x14ac:dyDescent="0.25"/>
    <row r="225" s="30" customFormat="1" x14ac:dyDescent="0.25"/>
    <row r="226" s="30" customFormat="1" x14ac:dyDescent="0.25"/>
    <row r="227" s="30" customFormat="1" x14ac:dyDescent="0.25"/>
    <row r="228" s="30" customFormat="1" x14ac:dyDescent="0.25"/>
    <row r="229" s="30" customFormat="1" x14ac:dyDescent="0.25"/>
    <row r="230" s="30" customFormat="1" x14ac:dyDescent="0.25"/>
    <row r="231" s="30" customFormat="1" x14ac:dyDescent="0.25"/>
    <row r="232" s="30" customFormat="1" x14ac:dyDescent="0.25"/>
    <row r="233" s="30" customFormat="1" x14ac:dyDescent="0.25"/>
    <row r="234" s="30" customFormat="1" x14ac:dyDescent="0.25"/>
    <row r="235" s="30" customFormat="1" x14ac:dyDescent="0.25"/>
    <row r="236" s="30" customFormat="1" x14ac:dyDescent="0.25"/>
    <row r="237" s="30" customFormat="1" x14ac:dyDescent="0.25"/>
    <row r="238" s="30" customFormat="1" x14ac:dyDescent="0.25"/>
    <row r="239" s="30" customFormat="1" x14ac:dyDescent="0.25"/>
    <row r="240" s="30" customFormat="1" x14ac:dyDescent="0.25"/>
    <row r="241" s="30" customFormat="1" x14ac:dyDescent="0.25"/>
    <row r="242" s="30" customFormat="1" x14ac:dyDescent="0.25"/>
    <row r="243" s="30" customFormat="1" x14ac:dyDescent="0.25"/>
    <row r="244" s="30" customFormat="1" x14ac:dyDescent="0.25"/>
    <row r="245" s="30" customFormat="1" x14ac:dyDescent="0.25"/>
    <row r="246" s="30" customFormat="1" x14ac:dyDescent="0.25"/>
    <row r="247" s="30" customFormat="1" x14ac:dyDescent="0.25"/>
    <row r="248" s="30" customFormat="1" x14ac:dyDescent="0.25"/>
    <row r="249" s="30" customFormat="1" x14ac:dyDescent="0.25"/>
    <row r="250" s="30" customFormat="1" x14ac:dyDescent="0.25"/>
    <row r="251" s="30" customFormat="1" x14ac:dyDescent="0.25"/>
    <row r="252" s="30" customFormat="1" x14ac:dyDescent="0.25"/>
    <row r="253" s="30" customFormat="1" x14ac:dyDescent="0.25"/>
    <row r="254" s="30" customFormat="1" x14ac:dyDescent="0.25"/>
    <row r="255" s="30" customFormat="1" x14ac:dyDescent="0.25"/>
    <row r="256" s="30" customFormat="1" x14ac:dyDescent="0.25"/>
    <row r="257" s="30" customFormat="1" x14ac:dyDescent="0.25"/>
    <row r="258" s="30" customFormat="1" x14ac:dyDescent="0.25"/>
    <row r="259" s="30" customFormat="1" x14ac:dyDescent="0.25"/>
    <row r="260" s="30" customFormat="1" x14ac:dyDescent="0.25"/>
    <row r="261" s="30" customFormat="1" x14ac:dyDescent="0.25"/>
    <row r="262" s="30" customFormat="1" x14ac:dyDescent="0.25"/>
    <row r="263" s="30" customFormat="1" x14ac:dyDescent="0.25"/>
    <row r="264" s="30" customFormat="1" x14ac:dyDescent="0.25"/>
    <row r="265" s="30" customFormat="1" x14ac:dyDescent="0.25"/>
    <row r="266" s="30" customFormat="1" x14ac:dyDescent="0.25"/>
    <row r="267" s="30" customFormat="1" x14ac:dyDescent="0.25"/>
    <row r="268" s="30" customFormat="1" x14ac:dyDescent="0.25"/>
    <row r="269" s="30" customFormat="1" x14ac:dyDescent="0.25"/>
    <row r="270" s="30" customFormat="1" x14ac:dyDescent="0.25"/>
    <row r="271" s="30" customFormat="1" x14ac:dyDescent="0.25"/>
    <row r="272" s="30" customFormat="1" x14ac:dyDescent="0.25"/>
    <row r="273" s="30" customFormat="1" x14ac:dyDescent="0.25"/>
    <row r="274" s="30" customFormat="1" x14ac:dyDescent="0.25"/>
    <row r="275" s="30" customFormat="1" x14ac:dyDescent="0.25"/>
    <row r="276" s="30" customFormat="1" x14ac:dyDescent="0.25"/>
    <row r="277" s="30" customFormat="1" x14ac:dyDescent="0.25"/>
    <row r="278" s="30" customFormat="1" x14ac:dyDescent="0.25"/>
    <row r="279" s="30" customFormat="1" x14ac:dyDescent="0.25"/>
    <row r="280" s="30" customFormat="1" x14ac:dyDescent="0.25"/>
    <row r="281" s="30" customFormat="1" x14ac:dyDescent="0.25"/>
    <row r="282" s="30" customFormat="1" x14ac:dyDescent="0.25"/>
    <row r="283" s="30" customFormat="1" x14ac:dyDescent="0.25"/>
    <row r="284" s="30" customFormat="1" x14ac:dyDescent="0.25"/>
    <row r="285" s="30" customFormat="1" x14ac:dyDescent="0.25"/>
    <row r="286" s="30" customFormat="1" x14ac:dyDescent="0.25"/>
    <row r="287" s="30" customFormat="1" x14ac:dyDescent="0.25"/>
    <row r="288" s="30" customFormat="1" x14ac:dyDescent="0.25"/>
    <row r="289" s="30" customFormat="1" x14ac:dyDescent="0.25"/>
    <row r="290" s="30" customFormat="1" x14ac:dyDescent="0.25"/>
    <row r="291" s="30" customFormat="1" x14ac:dyDescent="0.25"/>
    <row r="292" s="30" customFormat="1" x14ac:dyDescent="0.25"/>
    <row r="293" s="30" customFormat="1" x14ac:dyDescent="0.25"/>
    <row r="294" s="30" customFormat="1" x14ac:dyDescent="0.25"/>
    <row r="295" s="30" customFormat="1" x14ac:dyDescent="0.25"/>
    <row r="296" s="30" customFormat="1" x14ac:dyDescent="0.25"/>
    <row r="297" s="30" customFormat="1" x14ac:dyDescent="0.25"/>
    <row r="298" s="30" customFormat="1" x14ac:dyDescent="0.25"/>
    <row r="299" s="30" customFormat="1" x14ac:dyDescent="0.25"/>
    <row r="300" s="30" customFormat="1" x14ac:dyDescent="0.25"/>
    <row r="301" s="30" customFormat="1" x14ac:dyDescent="0.25"/>
    <row r="302" s="30" customFormat="1" x14ac:dyDescent="0.25"/>
    <row r="303" s="30" customFormat="1" x14ac:dyDescent="0.25"/>
    <row r="304" s="30" customFormat="1" x14ac:dyDescent="0.25"/>
    <row r="305" s="30" customFormat="1" x14ac:dyDescent="0.25"/>
    <row r="306" s="30" customFormat="1" x14ac:dyDescent="0.25"/>
    <row r="307" s="30" customFormat="1" x14ac:dyDescent="0.25"/>
    <row r="308" s="30" customFormat="1" x14ac:dyDescent="0.25"/>
    <row r="309" s="30" customFormat="1" x14ac:dyDescent="0.25"/>
    <row r="310" s="30" customFormat="1" x14ac:dyDescent="0.25"/>
    <row r="311" s="30" customFormat="1" x14ac:dyDescent="0.25"/>
    <row r="312" s="30" customFormat="1" x14ac:dyDescent="0.25"/>
    <row r="313" s="30" customFormat="1" x14ac:dyDescent="0.25"/>
    <row r="314" s="30" customFormat="1" x14ac:dyDescent="0.25"/>
    <row r="315" s="30" customFormat="1" x14ac:dyDescent="0.25"/>
    <row r="316" s="30" customFormat="1" x14ac:dyDescent="0.25"/>
    <row r="317" s="30" customFormat="1" x14ac:dyDescent="0.25"/>
    <row r="318" s="30" customFormat="1" x14ac:dyDescent="0.25"/>
    <row r="319" s="30" customFormat="1" x14ac:dyDescent="0.25"/>
    <row r="320" s="30" customFormat="1" x14ac:dyDescent="0.25"/>
    <row r="321" s="30" customFormat="1" x14ac:dyDescent="0.25"/>
    <row r="322" s="30" customFormat="1" x14ac:dyDescent="0.25"/>
    <row r="323" s="30" customFormat="1" x14ac:dyDescent="0.25"/>
    <row r="324" s="30" customFormat="1" x14ac:dyDescent="0.25"/>
    <row r="325" s="30" customFormat="1" x14ac:dyDescent="0.25"/>
    <row r="326" s="30" customFormat="1" x14ac:dyDescent="0.25"/>
    <row r="327" s="30" customFormat="1" x14ac:dyDescent="0.25"/>
    <row r="328" s="30" customFormat="1" x14ac:dyDescent="0.25"/>
    <row r="329" s="30" customFormat="1" x14ac:dyDescent="0.25"/>
    <row r="330" s="30" customFormat="1" x14ac:dyDescent="0.25"/>
    <row r="331" s="30" customFormat="1" x14ac:dyDescent="0.25"/>
    <row r="332" s="30" customFormat="1" x14ac:dyDescent="0.25"/>
    <row r="333" s="30" customFormat="1" x14ac:dyDescent="0.25"/>
    <row r="334" s="30" customFormat="1" x14ac:dyDescent="0.25"/>
    <row r="335" s="30" customFormat="1" x14ac:dyDescent="0.25"/>
    <row r="336" s="30" customFormat="1" x14ac:dyDescent="0.25"/>
    <row r="337" s="30" customFormat="1" x14ac:dyDescent="0.25"/>
    <row r="338" s="30" customFormat="1" x14ac:dyDescent="0.25"/>
    <row r="339" s="30" customFormat="1" x14ac:dyDescent="0.25"/>
    <row r="340" s="30" customFormat="1" x14ac:dyDescent="0.25"/>
    <row r="341" s="30" customFormat="1" x14ac:dyDescent="0.25"/>
    <row r="342" s="30" customFormat="1" x14ac:dyDescent="0.25"/>
    <row r="343" s="30" customFormat="1" x14ac:dyDescent="0.25"/>
    <row r="344" s="30" customFormat="1" x14ac:dyDescent="0.25"/>
    <row r="345" s="30" customFormat="1" x14ac:dyDescent="0.25"/>
    <row r="346" s="30" customFormat="1" x14ac:dyDescent="0.25"/>
    <row r="347" s="30" customFormat="1" x14ac:dyDescent="0.25"/>
    <row r="348" s="30" customFormat="1" x14ac:dyDescent="0.25"/>
    <row r="349" s="30" customFormat="1" x14ac:dyDescent="0.25"/>
    <row r="350" s="30" customFormat="1" x14ac:dyDescent="0.25"/>
    <row r="351" s="30" customFormat="1" x14ac:dyDescent="0.25"/>
    <row r="352" s="30" customFormat="1" x14ac:dyDescent="0.25"/>
    <row r="353" s="30" customFormat="1" x14ac:dyDescent="0.25"/>
    <row r="354" s="30" customFormat="1" x14ac:dyDescent="0.25"/>
    <row r="355" s="30" customFormat="1" x14ac:dyDescent="0.25"/>
    <row r="356" s="30" customFormat="1" x14ac:dyDescent="0.25"/>
    <row r="357" s="30" customFormat="1" x14ac:dyDescent="0.25"/>
    <row r="358" s="30" customFormat="1" x14ac:dyDescent="0.25"/>
    <row r="359" s="30" customFormat="1" x14ac:dyDescent="0.25"/>
    <row r="360" s="30" customFormat="1" x14ac:dyDescent="0.25"/>
    <row r="361" s="30" customFormat="1" x14ac:dyDescent="0.25"/>
    <row r="362" s="30" customFormat="1" x14ac:dyDescent="0.25"/>
    <row r="363" s="30" customFormat="1" x14ac:dyDescent="0.25"/>
    <row r="364" s="30" customFormat="1" x14ac:dyDescent="0.25"/>
    <row r="365" s="30" customFormat="1" x14ac:dyDescent="0.25"/>
    <row r="366" s="30" customFormat="1" x14ac:dyDescent="0.25"/>
    <row r="367" s="30" customFormat="1" x14ac:dyDescent="0.25"/>
    <row r="368" s="30" customFormat="1" x14ac:dyDescent="0.25"/>
    <row r="369" s="30" customFormat="1" x14ac:dyDescent="0.25"/>
    <row r="370" s="30" customFormat="1" x14ac:dyDescent="0.25"/>
    <row r="371" s="30" customFormat="1" x14ac:dyDescent="0.25"/>
    <row r="372" s="30" customFormat="1" x14ac:dyDescent="0.25"/>
    <row r="373" s="30" customFormat="1" x14ac:dyDescent="0.25"/>
    <row r="374" s="30" customFormat="1" x14ac:dyDescent="0.25"/>
    <row r="375" s="30" customFormat="1" x14ac:dyDescent="0.25"/>
    <row r="376" s="30" customFormat="1" x14ac:dyDescent="0.25"/>
    <row r="377" s="30" customFormat="1" x14ac:dyDescent="0.25"/>
    <row r="378" s="30" customFormat="1" x14ac:dyDescent="0.25"/>
    <row r="379" s="30" customFormat="1" x14ac:dyDescent="0.25"/>
    <row r="380" s="30" customFormat="1" x14ac:dyDescent="0.25"/>
    <row r="381" s="30" customFormat="1" x14ac:dyDescent="0.25"/>
    <row r="382" s="30" customFormat="1" x14ac:dyDescent="0.25"/>
    <row r="383" s="30" customFormat="1" x14ac:dyDescent="0.25"/>
    <row r="384" s="30" customFormat="1" x14ac:dyDescent="0.25"/>
    <row r="385" s="30" customFormat="1" x14ac:dyDescent="0.25"/>
    <row r="386" s="30" customFormat="1" x14ac:dyDescent="0.25"/>
    <row r="387" s="30" customFormat="1" x14ac:dyDescent="0.25"/>
    <row r="388" s="30" customFormat="1" x14ac:dyDescent="0.25"/>
    <row r="389" s="30" customFormat="1" x14ac:dyDescent="0.25"/>
    <row r="390" s="30" customFormat="1" x14ac:dyDescent="0.25"/>
    <row r="391" s="30" customFormat="1" x14ac:dyDescent="0.25"/>
    <row r="392" s="30" customFormat="1" x14ac:dyDescent="0.25"/>
    <row r="393" s="30" customFormat="1" x14ac:dyDescent="0.25"/>
    <row r="394" s="30" customFormat="1" x14ac:dyDescent="0.25"/>
    <row r="395" s="30" customFormat="1" x14ac:dyDescent="0.25"/>
    <row r="396" s="30" customFormat="1" x14ac:dyDescent="0.25"/>
    <row r="397" s="30" customFormat="1" x14ac:dyDescent="0.25"/>
    <row r="398" s="30" customFormat="1" x14ac:dyDescent="0.25"/>
    <row r="399" s="30" customFormat="1" x14ac:dyDescent="0.25"/>
    <row r="400" s="30" customFormat="1" x14ac:dyDescent="0.25"/>
    <row r="401" s="30" customFormat="1" x14ac:dyDescent="0.25"/>
    <row r="402" s="30" customFormat="1" x14ac:dyDescent="0.25"/>
    <row r="403" s="30" customFormat="1" x14ac:dyDescent="0.25"/>
    <row r="404" s="30" customFormat="1" x14ac:dyDescent="0.25"/>
    <row r="405" s="30" customFormat="1" x14ac:dyDescent="0.25"/>
    <row r="406" s="30" customFormat="1" x14ac:dyDescent="0.25"/>
    <row r="407" s="30" customFormat="1" x14ac:dyDescent="0.25"/>
    <row r="408" s="30" customFormat="1" x14ac:dyDescent="0.25"/>
    <row r="409" s="30" customFormat="1" x14ac:dyDescent="0.25"/>
    <row r="410" s="30" customFormat="1" x14ac:dyDescent="0.25"/>
    <row r="411" s="30" customFormat="1" x14ac:dyDescent="0.25"/>
    <row r="412" s="30" customFormat="1" x14ac:dyDescent="0.25"/>
    <row r="413" s="30" customFormat="1" x14ac:dyDescent="0.25"/>
    <row r="414" s="30" customFormat="1" x14ac:dyDescent="0.25"/>
    <row r="415" s="30" customFormat="1" x14ac:dyDescent="0.25"/>
    <row r="416" s="30" customFormat="1" x14ac:dyDescent="0.25"/>
    <row r="417" s="30" customFormat="1" x14ac:dyDescent="0.25"/>
    <row r="418" s="30" customFormat="1" x14ac:dyDescent="0.25"/>
    <row r="419" s="30" customFormat="1" x14ac:dyDescent="0.25"/>
    <row r="420" s="30" customFormat="1" x14ac:dyDescent="0.25"/>
    <row r="421" s="30" customFormat="1" x14ac:dyDescent="0.25"/>
    <row r="422" s="30" customFormat="1" x14ac:dyDescent="0.25"/>
    <row r="423" s="30" customFormat="1" x14ac:dyDescent="0.25"/>
    <row r="424" s="30" customFormat="1" x14ac:dyDescent="0.25"/>
    <row r="425" s="30" customFormat="1" x14ac:dyDescent="0.25"/>
    <row r="426" s="30" customFormat="1" x14ac:dyDescent="0.25"/>
    <row r="427" s="30" customFormat="1" x14ac:dyDescent="0.25"/>
    <row r="428" s="30" customFormat="1" x14ac:dyDescent="0.25"/>
    <row r="429" s="30" customFormat="1" x14ac:dyDescent="0.25"/>
    <row r="430" s="30" customFormat="1" x14ac:dyDescent="0.25"/>
    <row r="431" s="30" customFormat="1" x14ac:dyDescent="0.25"/>
    <row r="432" s="30" customFormat="1" x14ac:dyDescent="0.25"/>
    <row r="433" s="30" customFormat="1" x14ac:dyDescent="0.25"/>
    <row r="434" s="30" customFormat="1" x14ac:dyDescent="0.25"/>
    <row r="435" s="30" customFormat="1" x14ac:dyDescent="0.25"/>
    <row r="436" s="30" customFormat="1" x14ac:dyDescent="0.25"/>
    <row r="437" s="30" customFormat="1" x14ac:dyDescent="0.25"/>
  </sheetData>
  <phoneticPr fontId="34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3A71D-30EE-4995-B5E6-AD9805684B6B}">
  <sheetPr codeName="Hoja5"/>
  <dimension ref="A1:E22"/>
  <sheetViews>
    <sheetView workbookViewId="0">
      <selection activeCell="B8" sqref="B8"/>
    </sheetView>
  </sheetViews>
  <sheetFormatPr baseColWidth="10" defaultColWidth="11.5546875" defaultRowHeight="13.2" x14ac:dyDescent="0.25"/>
  <cols>
    <col min="1" max="1" width="39.5546875" style="87" customWidth="1"/>
    <col min="2" max="5" width="54.44140625" style="83" customWidth="1"/>
    <col min="6" max="16384" width="11.5546875" style="87"/>
  </cols>
  <sheetData>
    <row r="1" spans="1:5" ht="36.6" customHeight="1" x14ac:dyDescent="0.25">
      <c r="A1" s="88" t="s">
        <v>165</v>
      </c>
      <c r="B1" s="88" t="s">
        <v>166</v>
      </c>
      <c r="C1" s="88" t="s">
        <v>167</v>
      </c>
      <c r="D1" s="88" t="s">
        <v>168</v>
      </c>
      <c r="E1" s="88" t="s">
        <v>169</v>
      </c>
    </row>
    <row r="2" spans="1:5" x14ac:dyDescent="0.25">
      <c r="A2" s="89" t="s">
        <v>170</v>
      </c>
      <c r="B2" s="85"/>
      <c r="C2" s="85"/>
      <c r="D2" s="85"/>
      <c r="E2" s="85"/>
    </row>
    <row r="3" spans="1:5" ht="26.4" x14ac:dyDescent="0.25">
      <c r="A3" s="84" t="s">
        <v>171</v>
      </c>
      <c r="B3" s="85" t="s">
        <v>172</v>
      </c>
      <c r="C3" s="85" t="s">
        <v>172</v>
      </c>
      <c r="D3" s="85" t="s">
        <v>172</v>
      </c>
      <c r="E3" s="85" t="s">
        <v>172</v>
      </c>
    </row>
    <row r="4" spans="1:5" ht="26.4" x14ac:dyDescent="0.25">
      <c r="A4" s="84" t="s">
        <v>173</v>
      </c>
      <c r="B4" s="85" t="s">
        <v>172</v>
      </c>
      <c r="C4" s="85" t="s">
        <v>172</v>
      </c>
      <c r="D4" s="85" t="s">
        <v>172</v>
      </c>
      <c r="E4" s="85" t="s">
        <v>172</v>
      </c>
    </row>
    <row r="5" spans="1:5" ht="26.4" x14ac:dyDescent="0.25">
      <c r="A5" s="84" t="s">
        <v>174</v>
      </c>
      <c r="B5" s="85" t="s">
        <v>172</v>
      </c>
      <c r="C5" s="85" t="s">
        <v>172</v>
      </c>
      <c r="D5" s="85" t="s">
        <v>172</v>
      </c>
      <c r="E5" s="85" t="s">
        <v>172</v>
      </c>
    </row>
    <row r="6" spans="1:5" ht="26.4" x14ac:dyDescent="0.25">
      <c r="A6" s="84" t="s">
        <v>175</v>
      </c>
      <c r="B6" s="85"/>
      <c r="C6" s="85"/>
      <c r="D6" s="85" t="s">
        <v>172</v>
      </c>
      <c r="E6" s="85"/>
    </row>
    <row r="7" spans="1:5" x14ac:dyDescent="0.25">
      <c r="A7" s="89" t="s">
        <v>176</v>
      </c>
      <c r="B7" s="85"/>
      <c r="C7" s="85"/>
      <c r="D7" s="85"/>
      <c r="E7" s="85"/>
    </row>
    <row r="8" spans="1:5" ht="26.4" x14ac:dyDescent="0.25">
      <c r="A8" s="84" t="s">
        <v>177</v>
      </c>
      <c r="B8" s="85" t="s">
        <v>172</v>
      </c>
      <c r="C8" s="85" t="s">
        <v>172</v>
      </c>
      <c r="D8" s="85"/>
      <c r="E8" s="85"/>
    </row>
    <row r="9" spans="1:5" ht="26.4" x14ac:dyDescent="0.25">
      <c r="A9" s="84" t="s">
        <v>178</v>
      </c>
      <c r="B9" s="85" t="s">
        <v>172</v>
      </c>
      <c r="C9" s="85"/>
      <c r="D9" s="85"/>
      <c r="E9" s="85"/>
    </row>
    <row r="10" spans="1:5" ht="26.4" x14ac:dyDescent="0.25">
      <c r="A10" s="84" t="s">
        <v>179</v>
      </c>
      <c r="B10" s="85" t="s">
        <v>172</v>
      </c>
      <c r="C10" s="85" t="s">
        <v>172</v>
      </c>
      <c r="D10" s="85"/>
      <c r="E10" s="85"/>
    </row>
    <row r="11" spans="1:5" ht="26.4" x14ac:dyDescent="0.25">
      <c r="A11" s="84" t="s">
        <v>180</v>
      </c>
      <c r="B11" s="85" t="s">
        <v>172</v>
      </c>
      <c r="C11" s="85"/>
      <c r="D11" s="85"/>
      <c r="E11" s="85"/>
    </row>
    <row r="12" spans="1:5" x14ac:dyDescent="0.25">
      <c r="A12" s="89" t="s">
        <v>181</v>
      </c>
      <c r="B12" s="85"/>
      <c r="C12" s="85"/>
      <c r="D12" s="85"/>
      <c r="E12" s="85"/>
    </row>
    <row r="13" spans="1:5" ht="22.95" customHeight="1" x14ac:dyDescent="0.25">
      <c r="A13" s="90" t="s">
        <v>182</v>
      </c>
      <c r="B13" s="91" t="s">
        <v>172</v>
      </c>
      <c r="C13" s="91" t="s">
        <v>172</v>
      </c>
      <c r="D13" s="91" t="s">
        <v>172</v>
      </c>
      <c r="E13" s="91"/>
    </row>
    <row r="14" spans="1:5" ht="22.95" customHeight="1" x14ac:dyDescent="0.25">
      <c r="A14" s="90" t="s">
        <v>183</v>
      </c>
      <c r="B14" s="91" t="s">
        <v>172</v>
      </c>
      <c r="C14" s="91" t="s">
        <v>172</v>
      </c>
      <c r="D14" s="91"/>
      <c r="E14" s="91"/>
    </row>
    <row r="15" spans="1:5" ht="26.4" x14ac:dyDescent="0.25">
      <c r="A15" s="90" t="s">
        <v>184</v>
      </c>
      <c r="B15" s="91"/>
      <c r="C15" s="91"/>
      <c r="D15" s="91"/>
      <c r="E15" s="91" t="s">
        <v>172</v>
      </c>
    </row>
    <row r="16" spans="1:5" x14ac:dyDescent="0.25">
      <c r="A16" s="90" t="s">
        <v>185</v>
      </c>
      <c r="B16" s="91"/>
      <c r="C16" s="91"/>
      <c r="D16" s="91"/>
      <c r="E16" s="91"/>
    </row>
    <row r="17" spans="1:5" ht="21" customHeight="1" x14ac:dyDescent="0.25">
      <c r="A17" s="90" t="s">
        <v>186</v>
      </c>
      <c r="B17" s="91" t="s">
        <v>172</v>
      </c>
      <c r="C17" s="91" t="s">
        <v>172</v>
      </c>
      <c r="D17" s="91" t="s">
        <v>172</v>
      </c>
      <c r="E17" s="91"/>
    </row>
    <row r="18" spans="1:5" ht="26.4" x14ac:dyDescent="0.25">
      <c r="A18" s="90" t="s">
        <v>187</v>
      </c>
      <c r="B18" s="91"/>
      <c r="C18" s="91"/>
      <c r="D18" s="91"/>
      <c r="E18" s="91" t="s">
        <v>172</v>
      </c>
    </row>
    <row r="19" spans="1:5" ht="39.6" x14ac:dyDescent="0.25">
      <c r="A19" s="90" t="s">
        <v>188</v>
      </c>
      <c r="B19" s="91" t="s">
        <v>172</v>
      </c>
      <c r="C19" s="91"/>
      <c r="D19" s="91"/>
      <c r="E19" s="91"/>
    </row>
    <row r="20" spans="1:5" ht="39.6" x14ac:dyDescent="0.25">
      <c r="A20" s="90" t="s">
        <v>189</v>
      </c>
      <c r="B20" s="91"/>
      <c r="C20" s="91" t="s">
        <v>172</v>
      </c>
      <c r="D20" s="91"/>
      <c r="E20" s="91"/>
    </row>
    <row r="21" spans="1:5" ht="39.6" x14ac:dyDescent="0.25">
      <c r="A21" s="90" t="s">
        <v>190</v>
      </c>
      <c r="B21" s="91"/>
      <c r="C21" s="91"/>
      <c r="D21" s="91" t="s">
        <v>172</v>
      </c>
      <c r="E21" s="91"/>
    </row>
    <row r="22" spans="1:5" ht="39.6" x14ac:dyDescent="0.25">
      <c r="A22" s="90" t="s">
        <v>191</v>
      </c>
      <c r="B22" s="91"/>
      <c r="C22" s="91"/>
      <c r="D22" s="91"/>
      <c r="E22" s="91" t="s">
        <v>172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FDDD8-D24F-45F4-A00B-9FD65746B4A1}">
  <sheetPr codeName="Hoja6"/>
  <dimension ref="A1:J30"/>
  <sheetViews>
    <sheetView tabSelected="1" topLeftCell="D1" zoomScaleNormal="100" workbookViewId="0">
      <selection activeCell="G9" sqref="G9"/>
    </sheetView>
  </sheetViews>
  <sheetFormatPr baseColWidth="10" defaultRowHeight="13.2" x14ac:dyDescent="0.25"/>
  <cols>
    <col min="1" max="1" width="20.6640625" customWidth="1"/>
    <col min="2" max="2" width="16.44140625" customWidth="1"/>
    <col min="3" max="3" width="15.88671875" customWidth="1"/>
    <col min="4" max="4" width="49.6640625" customWidth="1"/>
    <col min="5" max="5" width="45.44140625" customWidth="1"/>
    <col min="6" max="6" width="31.44140625" customWidth="1"/>
    <col min="7" max="7" width="34.77734375" customWidth="1"/>
    <col min="8" max="8" width="15.88671875" customWidth="1"/>
    <col min="9" max="9" width="23.33203125" customWidth="1"/>
    <col min="10" max="10" width="3.109375" customWidth="1"/>
  </cols>
  <sheetData>
    <row r="1" spans="1:10" x14ac:dyDescent="0.25">
      <c r="A1" s="111" t="s">
        <v>159</v>
      </c>
      <c r="B1" s="112"/>
      <c r="C1" s="112"/>
      <c r="D1" s="112"/>
      <c r="E1" s="112"/>
      <c r="F1" s="112"/>
      <c r="G1" s="112"/>
      <c r="H1" s="112"/>
      <c r="I1" s="113"/>
      <c r="J1" s="30"/>
    </row>
    <row r="2" spans="1:10" ht="30.6" customHeight="1" x14ac:dyDescent="0.25">
      <c r="A2" s="114"/>
      <c r="B2" s="115"/>
      <c r="C2" s="115"/>
      <c r="D2" s="115"/>
      <c r="E2" s="115"/>
      <c r="F2" s="115"/>
      <c r="G2" s="115"/>
      <c r="H2" s="115"/>
      <c r="I2" s="116"/>
      <c r="J2" s="30"/>
    </row>
    <row r="3" spans="1:10" x14ac:dyDescent="0.25">
      <c r="A3" s="117"/>
      <c r="B3" s="118"/>
      <c r="C3" s="118"/>
      <c r="D3" s="118"/>
      <c r="E3" s="118"/>
      <c r="F3" s="118"/>
      <c r="G3" s="118"/>
      <c r="H3" s="118"/>
      <c r="I3" s="119"/>
      <c r="J3" s="30"/>
    </row>
    <row r="4" spans="1:10" x14ac:dyDescent="0.25">
      <c r="A4" s="30"/>
      <c r="B4" s="71"/>
      <c r="C4" s="30"/>
      <c r="D4" s="30"/>
      <c r="E4" s="30"/>
      <c r="F4" s="72"/>
      <c r="G4" s="73"/>
      <c r="H4" s="74"/>
      <c r="I4" s="74"/>
      <c r="J4" s="30"/>
    </row>
    <row r="5" spans="1:10" x14ac:dyDescent="0.25">
      <c r="A5" s="120" t="s">
        <v>160</v>
      </c>
      <c r="B5" s="121"/>
      <c r="C5" s="121"/>
      <c r="D5" s="121"/>
      <c r="E5" s="121"/>
      <c r="F5" s="121"/>
      <c r="G5" s="121"/>
      <c r="H5" s="121"/>
      <c r="I5" s="121"/>
      <c r="J5" s="75"/>
    </row>
    <row r="6" spans="1:10" x14ac:dyDescent="0.25">
      <c r="A6" s="122"/>
      <c r="B6" s="123"/>
      <c r="C6" s="123"/>
      <c r="D6" s="123"/>
      <c r="E6" s="123"/>
      <c r="F6" s="123"/>
      <c r="G6" s="123"/>
      <c r="H6" s="123"/>
      <c r="I6" s="123"/>
      <c r="J6" s="75"/>
    </row>
    <row r="7" spans="1:10" ht="39.6" customHeight="1" x14ac:dyDescent="0.25">
      <c r="A7" s="76" t="s">
        <v>163</v>
      </c>
      <c r="B7" s="92"/>
      <c r="C7" s="77" t="s">
        <v>161</v>
      </c>
      <c r="D7" s="126"/>
      <c r="E7" s="126"/>
      <c r="F7" s="125"/>
      <c r="G7" s="76" t="s">
        <v>162</v>
      </c>
      <c r="H7" s="124"/>
      <c r="I7" s="125"/>
      <c r="J7" s="75"/>
    </row>
    <row r="8" spans="1:10" ht="13.8" thickBot="1" x14ac:dyDescent="0.3"/>
    <row r="9" spans="1:10" s="98" customFormat="1" ht="70.2" customHeight="1" x14ac:dyDescent="0.25">
      <c r="A9" s="97" t="s">
        <v>195</v>
      </c>
      <c r="B9" s="95" t="s">
        <v>197</v>
      </c>
      <c r="C9" s="95" t="s">
        <v>196</v>
      </c>
      <c r="D9" s="95" t="s">
        <v>198</v>
      </c>
      <c r="E9" s="95" t="s">
        <v>199</v>
      </c>
      <c r="F9" s="95" t="s">
        <v>200</v>
      </c>
      <c r="G9" s="95" t="s">
        <v>201</v>
      </c>
      <c r="H9" s="95" t="s">
        <v>164</v>
      </c>
      <c r="I9" s="96" t="s">
        <v>137</v>
      </c>
    </row>
    <row r="10" spans="1:10" x14ac:dyDescent="0.25">
      <c r="A10" s="93"/>
      <c r="B10" s="85"/>
      <c r="C10" s="85"/>
      <c r="D10" s="94"/>
      <c r="E10" s="84"/>
      <c r="F10" s="84"/>
      <c r="G10" s="84"/>
      <c r="H10" s="85"/>
      <c r="I10" s="86"/>
    </row>
    <row r="11" spans="1:10" x14ac:dyDescent="0.25">
      <c r="A11" s="93"/>
      <c r="B11" s="85"/>
      <c r="C11" s="85"/>
      <c r="D11" s="94"/>
      <c r="E11" s="84"/>
      <c r="F11" s="84"/>
      <c r="G11" s="84"/>
      <c r="H11" s="85"/>
      <c r="I11" s="86"/>
    </row>
    <row r="12" spans="1:10" x14ac:dyDescent="0.25">
      <c r="A12" s="93"/>
      <c r="B12" s="85"/>
      <c r="C12" s="85"/>
      <c r="D12" s="94"/>
      <c r="E12" s="84"/>
      <c r="F12" s="84"/>
      <c r="G12" s="84"/>
      <c r="H12" s="85"/>
      <c r="I12" s="86"/>
    </row>
    <row r="13" spans="1:10" x14ac:dyDescent="0.25">
      <c r="A13" s="93"/>
      <c r="B13" s="85"/>
      <c r="C13" s="85"/>
      <c r="D13" s="94"/>
      <c r="E13" s="84"/>
      <c r="F13" s="84"/>
      <c r="G13" s="84"/>
      <c r="H13" s="85"/>
      <c r="I13" s="86"/>
    </row>
    <row r="14" spans="1:10" x14ac:dyDescent="0.25">
      <c r="A14" s="93"/>
      <c r="B14" s="85"/>
      <c r="C14" s="85"/>
      <c r="D14" s="94"/>
      <c r="E14" s="84"/>
      <c r="F14" s="84"/>
      <c r="G14" s="84"/>
      <c r="H14" s="85"/>
      <c r="I14" s="86"/>
    </row>
    <row r="15" spans="1:10" x14ac:dyDescent="0.25">
      <c r="A15" s="93"/>
      <c r="B15" s="85"/>
      <c r="C15" s="85"/>
      <c r="D15" s="94"/>
      <c r="E15" s="84"/>
      <c r="F15" s="84"/>
      <c r="G15" s="84"/>
      <c r="H15" s="85"/>
      <c r="I15" s="86"/>
    </row>
    <row r="16" spans="1:10" x14ac:dyDescent="0.25">
      <c r="A16" s="93"/>
      <c r="B16" s="85"/>
      <c r="C16" s="85"/>
      <c r="D16" s="94"/>
      <c r="E16" s="84"/>
      <c r="F16" s="84"/>
      <c r="G16" s="84"/>
      <c r="H16" s="85"/>
      <c r="I16" s="86"/>
    </row>
    <row r="17" spans="1:9" x14ac:dyDescent="0.25">
      <c r="A17" s="93"/>
      <c r="B17" s="85"/>
      <c r="C17" s="85"/>
      <c r="D17" s="84"/>
      <c r="E17" s="84"/>
      <c r="F17" s="84"/>
      <c r="G17" s="84"/>
      <c r="H17" s="84"/>
      <c r="I17" s="86"/>
    </row>
    <row r="18" spans="1:9" x14ac:dyDescent="0.25">
      <c r="A18" s="93"/>
      <c r="B18" s="85"/>
      <c r="C18" s="85"/>
      <c r="D18" s="84"/>
      <c r="E18" s="84"/>
      <c r="F18" s="84"/>
      <c r="G18" s="84"/>
      <c r="H18" s="85"/>
      <c r="I18" s="86"/>
    </row>
    <row r="19" spans="1:9" x14ac:dyDescent="0.25">
      <c r="A19" s="93"/>
      <c r="B19" s="85"/>
      <c r="C19" s="85"/>
      <c r="D19" s="84"/>
      <c r="E19" s="84"/>
      <c r="F19" s="84"/>
      <c r="G19" s="84"/>
      <c r="H19" s="85"/>
      <c r="I19" s="86"/>
    </row>
    <row r="20" spans="1:9" x14ac:dyDescent="0.25">
      <c r="A20" s="93"/>
      <c r="B20" s="85"/>
      <c r="C20" s="85"/>
      <c r="D20" s="84"/>
      <c r="E20" s="84"/>
      <c r="F20" s="84"/>
      <c r="G20" s="84"/>
      <c r="H20" s="85"/>
      <c r="I20" s="86"/>
    </row>
    <row r="21" spans="1:9" x14ac:dyDescent="0.25">
      <c r="A21" s="93"/>
      <c r="B21" s="85"/>
      <c r="C21" s="85"/>
      <c r="D21" s="84"/>
      <c r="E21" s="84"/>
      <c r="F21" s="84"/>
      <c r="G21" s="84"/>
      <c r="H21" s="85"/>
      <c r="I21" s="86"/>
    </row>
    <row r="22" spans="1:9" x14ac:dyDescent="0.25">
      <c r="A22" s="93"/>
      <c r="B22" s="85"/>
      <c r="C22" s="85"/>
      <c r="D22" s="84"/>
      <c r="E22" s="84"/>
      <c r="F22" s="84"/>
      <c r="G22" s="84"/>
      <c r="H22" s="85"/>
      <c r="I22" s="86"/>
    </row>
    <row r="23" spans="1:9" x14ac:dyDescent="0.25">
      <c r="A23" s="93"/>
      <c r="B23" s="85"/>
      <c r="C23" s="85"/>
      <c r="D23" s="84"/>
      <c r="E23" s="84"/>
      <c r="F23" s="84"/>
      <c r="G23" s="84"/>
      <c r="H23" s="85"/>
    </row>
    <row r="24" spans="1:9" x14ac:dyDescent="0.25">
      <c r="A24" s="93"/>
      <c r="B24" s="85"/>
      <c r="C24" s="85"/>
      <c r="D24" s="84"/>
      <c r="E24" s="84"/>
      <c r="F24" s="84"/>
      <c r="G24" s="84"/>
      <c r="H24" s="85"/>
    </row>
    <row r="25" spans="1:9" x14ac:dyDescent="0.25">
      <c r="A25" s="93"/>
      <c r="B25" s="85"/>
      <c r="C25" s="85"/>
      <c r="D25" s="84"/>
      <c r="E25" s="84"/>
      <c r="F25" s="84"/>
      <c r="G25" s="84"/>
      <c r="H25" s="85"/>
    </row>
    <row r="26" spans="1:9" x14ac:dyDescent="0.25">
      <c r="A26" s="93"/>
      <c r="B26" s="85"/>
      <c r="C26" s="85"/>
      <c r="D26" s="84"/>
      <c r="E26" s="84"/>
      <c r="F26" s="84"/>
      <c r="G26" s="84"/>
      <c r="H26" s="85"/>
    </row>
    <row r="27" spans="1:9" x14ac:dyDescent="0.25">
      <c r="A27" s="93"/>
      <c r="B27" s="85"/>
      <c r="C27" s="85"/>
      <c r="D27" s="84"/>
      <c r="E27" s="84"/>
      <c r="F27" s="84"/>
      <c r="G27" s="84"/>
      <c r="H27" s="85"/>
    </row>
    <row r="28" spans="1:9" x14ac:dyDescent="0.25">
      <c r="A28" s="93"/>
      <c r="B28" s="85"/>
      <c r="C28" s="85"/>
      <c r="D28" s="84"/>
      <c r="E28" s="84"/>
      <c r="F28" s="84"/>
      <c r="G28" s="84"/>
      <c r="H28" s="85"/>
    </row>
    <row r="29" spans="1:9" x14ac:dyDescent="0.25">
      <c r="A29" s="93"/>
      <c r="B29" s="85"/>
      <c r="C29" s="85"/>
      <c r="D29" s="84"/>
      <c r="E29" s="84"/>
      <c r="F29" s="84"/>
      <c r="G29" s="84"/>
      <c r="H29" s="85"/>
    </row>
    <row r="30" spans="1:9" x14ac:dyDescent="0.25">
      <c r="A30" s="93"/>
      <c r="B30" s="85"/>
      <c r="C30" s="85"/>
      <c r="D30" s="84"/>
      <c r="E30" s="84"/>
      <c r="F30" s="84"/>
      <c r="G30" s="84"/>
      <c r="H30" s="85"/>
    </row>
  </sheetData>
  <mergeCells count="5">
    <mergeCell ref="A1:I3"/>
    <mergeCell ref="A5:I5"/>
    <mergeCell ref="A6:I6"/>
    <mergeCell ref="H7:I7"/>
    <mergeCell ref="D7:F7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7"/>
  <dimension ref="B1:GP499"/>
  <sheetViews>
    <sheetView topLeftCell="A2" zoomScale="80" zoomScaleNormal="80" workbookViewId="0">
      <pane ySplit="3" topLeftCell="A5" activePane="bottomLeft" state="frozen"/>
      <selection activeCell="A2" sqref="A2"/>
      <selection pane="bottomLeft" activeCell="C8" sqref="C8"/>
    </sheetView>
  </sheetViews>
  <sheetFormatPr baseColWidth="10" defaultColWidth="11.44140625" defaultRowHeight="13.2" x14ac:dyDescent="0.25"/>
  <cols>
    <col min="1" max="1" width="2.6640625" customWidth="1"/>
    <col min="2" max="2" width="30.109375" bestFit="1" customWidth="1"/>
    <col min="4" max="4" width="12.33203125" bestFit="1" customWidth="1"/>
    <col min="6" max="6" width="15.5546875" customWidth="1"/>
    <col min="7" max="7" width="12.33203125" bestFit="1" customWidth="1"/>
    <col min="8" max="8" width="6.88671875" customWidth="1"/>
    <col min="9" max="9" width="9.6640625" customWidth="1"/>
    <col min="10" max="10" width="6.88671875" customWidth="1"/>
    <col min="12" max="12" width="6.88671875" customWidth="1"/>
    <col min="14" max="14" width="6.88671875" customWidth="1"/>
    <col min="16" max="16" width="12.44140625" bestFit="1" customWidth="1"/>
    <col min="17" max="17" width="15.109375" customWidth="1"/>
    <col min="20" max="20" width="17.44140625" customWidth="1"/>
  </cols>
  <sheetData>
    <row r="1" spans="2:198" ht="15" thickBot="1" x14ac:dyDescent="0.35"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</row>
    <row r="2" spans="2:198" x14ac:dyDescent="0.25">
      <c r="B2" s="137" t="s">
        <v>138</v>
      </c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38"/>
      <c r="Q2" s="138"/>
      <c r="R2" s="138"/>
      <c r="S2" s="138"/>
      <c r="T2" s="139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0"/>
      <c r="AZ2" s="30"/>
      <c r="BA2" s="30"/>
      <c r="BB2" s="30"/>
      <c r="BC2" s="30"/>
      <c r="BD2" s="30"/>
      <c r="BE2" s="30"/>
      <c r="BF2" s="30"/>
      <c r="BG2" s="30"/>
      <c r="BH2" s="30"/>
      <c r="BI2" s="30"/>
      <c r="BJ2" s="30"/>
      <c r="BK2" s="30"/>
      <c r="BL2" s="30"/>
      <c r="BM2" s="30"/>
      <c r="BN2" s="30"/>
      <c r="BO2" s="30"/>
      <c r="BP2" s="30"/>
      <c r="BQ2" s="30"/>
      <c r="BR2" s="30"/>
      <c r="BS2" s="30"/>
      <c r="BT2" s="30"/>
      <c r="BU2" s="30"/>
      <c r="BV2" s="30"/>
      <c r="BW2" s="30"/>
      <c r="BX2" s="30"/>
      <c r="BY2" s="30"/>
      <c r="BZ2" s="30"/>
      <c r="CA2" s="30"/>
      <c r="CB2" s="30"/>
      <c r="CC2" s="30"/>
      <c r="CD2" s="30"/>
      <c r="CE2" s="30"/>
      <c r="CF2" s="30"/>
      <c r="CG2" s="30"/>
      <c r="CH2" s="30"/>
      <c r="CI2" s="30"/>
      <c r="CJ2" s="30"/>
      <c r="CK2" s="30"/>
      <c r="CL2" s="30"/>
      <c r="CM2" s="30"/>
      <c r="CN2" s="30"/>
      <c r="CO2" s="30"/>
      <c r="CP2" s="30"/>
      <c r="CQ2" s="30"/>
      <c r="CR2" s="30"/>
      <c r="CS2" s="30"/>
      <c r="CT2" s="30"/>
      <c r="CU2" s="30"/>
      <c r="CV2" s="30"/>
      <c r="CW2" s="30"/>
      <c r="CX2" s="30"/>
      <c r="CY2" s="30"/>
      <c r="CZ2" s="30"/>
      <c r="DA2" s="30"/>
      <c r="DB2" s="30"/>
      <c r="DC2" s="30"/>
      <c r="DD2" s="30"/>
      <c r="DE2" s="30"/>
      <c r="DF2" s="30"/>
      <c r="DG2" s="30"/>
      <c r="DH2" s="30"/>
      <c r="DI2" s="30"/>
      <c r="DJ2" s="30"/>
      <c r="DK2" s="30"/>
      <c r="DL2" s="30"/>
      <c r="DM2" s="30"/>
      <c r="DN2" s="30"/>
      <c r="DO2" s="30"/>
      <c r="DP2" s="30"/>
      <c r="DQ2" s="30"/>
      <c r="DR2" s="30"/>
      <c r="DS2" s="30"/>
      <c r="DT2" s="30"/>
      <c r="DU2" s="30"/>
      <c r="DV2" s="30"/>
      <c r="DW2" s="30"/>
      <c r="DX2" s="30"/>
      <c r="DY2" s="30"/>
      <c r="DZ2" s="30"/>
      <c r="EA2" s="30"/>
      <c r="EB2" s="30"/>
      <c r="EC2" s="30"/>
      <c r="ED2" s="30"/>
      <c r="EE2" s="30"/>
      <c r="EF2" s="30"/>
      <c r="EG2" s="30"/>
      <c r="EH2" s="30"/>
      <c r="EI2" s="30"/>
      <c r="EJ2" s="30"/>
      <c r="EK2" s="30"/>
      <c r="EL2" s="30"/>
      <c r="EM2" s="30"/>
      <c r="EN2" s="30"/>
      <c r="EO2" s="30"/>
      <c r="EP2" s="30"/>
      <c r="EQ2" s="30"/>
      <c r="ER2" s="30"/>
      <c r="ES2" s="30"/>
      <c r="ET2" s="30"/>
      <c r="EU2" s="30"/>
      <c r="EV2" s="30"/>
      <c r="EW2" s="30"/>
      <c r="EX2" s="30"/>
      <c r="EY2" s="30"/>
      <c r="EZ2" s="30"/>
      <c r="FA2" s="30"/>
      <c r="FB2" s="30"/>
      <c r="FC2" s="30"/>
      <c r="FD2" s="30"/>
      <c r="FE2" s="30"/>
      <c r="FF2" s="30"/>
      <c r="FG2" s="30"/>
      <c r="FH2" s="30"/>
      <c r="FI2" s="30"/>
      <c r="FJ2" s="30"/>
      <c r="FK2" s="30"/>
      <c r="FL2" s="30"/>
      <c r="FM2" s="30"/>
      <c r="FN2" s="30"/>
      <c r="FO2" s="30"/>
      <c r="FP2" s="30"/>
      <c r="FQ2" s="30"/>
      <c r="FR2" s="30"/>
      <c r="FS2" s="30"/>
      <c r="FT2" s="30"/>
      <c r="FU2" s="30"/>
      <c r="FV2" s="30"/>
      <c r="FW2" s="30"/>
      <c r="FX2" s="30"/>
      <c r="FY2" s="30"/>
      <c r="FZ2" s="30"/>
      <c r="GA2" s="30"/>
      <c r="GB2" s="30"/>
      <c r="GC2" s="30"/>
      <c r="GD2" s="30"/>
      <c r="GE2" s="30"/>
      <c r="GF2" s="30"/>
      <c r="GG2" s="30"/>
      <c r="GH2" s="30"/>
      <c r="GI2" s="30"/>
      <c r="GJ2" s="30"/>
      <c r="GK2" s="30"/>
      <c r="GL2" s="30"/>
      <c r="GM2" s="30"/>
      <c r="GN2" s="30"/>
      <c r="GO2" s="30"/>
      <c r="GP2" s="30"/>
    </row>
    <row r="3" spans="2:198" x14ac:dyDescent="0.25">
      <c r="B3" s="140"/>
      <c r="C3" s="141"/>
      <c r="D3" s="141"/>
      <c r="E3" s="141"/>
      <c r="F3" s="141"/>
      <c r="G3" s="141"/>
      <c r="H3" s="141"/>
      <c r="I3" s="141"/>
      <c r="J3" s="141"/>
      <c r="K3" s="141"/>
      <c r="L3" s="141"/>
      <c r="M3" s="141"/>
      <c r="N3" s="141"/>
      <c r="O3" s="141"/>
      <c r="P3" s="141"/>
      <c r="Q3" s="141"/>
      <c r="R3" s="141"/>
      <c r="S3" s="141"/>
      <c r="T3" s="142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  <c r="CZ3" s="30"/>
      <c r="DA3" s="30"/>
      <c r="DB3" s="30"/>
      <c r="DC3" s="30"/>
      <c r="DD3" s="30"/>
      <c r="DE3" s="30"/>
      <c r="DF3" s="30"/>
      <c r="DG3" s="30"/>
      <c r="DH3" s="30"/>
      <c r="DI3" s="30"/>
      <c r="DJ3" s="30"/>
      <c r="DK3" s="30"/>
      <c r="DL3" s="30"/>
      <c r="DM3" s="30"/>
      <c r="DN3" s="30"/>
      <c r="DO3" s="30"/>
      <c r="DP3" s="30"/>
      <c r="DQ3" s="30"/>
      <c r="DR3" s="30"/>
      <c r="DS3" s="30"/>
      <c r="DT3" s="30"/>
      <c r="DU3" s="30"/>
      <c r="DV3" s="30"/>
      <c r="DW3" s="30"/>
      <c r="DX3" s="30"/>
      <c r="DY3" s="30"/>
      <c r="DZ3" s="30"/>
      <c r="EA3" s="30"/>
      <c r="EB3" s="30"/>
      <c r="EC3" s="30"/>
      <c r="ED3" s="30"/>
      <c r="EE3" s="30"/>
      <c r="EF3" s="30"/>
      <c r="EG3" s="30"/>
      <c r="EH3" s="30"/>
      <c r="EI3" s="30"/>
      <c r="EJ3" s="30"/>
      <c r="EK3" s="30"/>
      <c r="EL3" s="30"/>
      <c r="EM3" s="30"/>
      <c r="EN3" s="30"/>
      <c r="EO3" s="30"/>
      <c r="EP3" s="30"/>
      <c r="EQ3" s="30"/>
      <c r="ER3" s="30"/>
      <c r="ES3" s="30"/>
      <c r="ET3" s="30"/>
      <c r="EU3" s="30"/>
      <c r="EV3" s="30"/>
      <c r="EW3" s="30"/>
      <c r="EX3" s="30"/>
      <c r="EY3" s="30"/>
      <c r="EZ3" s="30"/>
      <c r="FA3" s="30"/>
      <c r="FB3" s="30"/>
      <c r="FC3" s="30"/>
      <c r="FD3" s="30"/>
      <c r="FE3" s="30"/>
      <c r="FF3" s="30"/>
      <c r="FG3" s="30"/>
      <c r="FH3" s="30"/>
      <c r="FI3" s="30"/>
      <c r="FJ3" s="30"/>
      <c r="FK3" s="30"/>
      <c r="FL3" s="30"/>
      <c r="FM3" s="30"/>
      <c r="FN3" s="30"/>
      <c r="FO3" s="30"/>
      <c r="FP3" s="30"/>
      <c r="FQ3" s="30"/>
      <c r="FR3" s="30"/>
      <c r="FS3" s="30"/>
      <c r="FT3" s="30"/>
      <c r="FU3" s="30"/>
      <c r="FV3" s="30"/>
      <c r="FW3" s="30"/>
      <c r="FX3" s="30"/>
      <c r="FY3" s="30"/>
      <c r="FZ3" s="30"/>
      <c r="GA3" s="30"/>
      <c r="GB3" s="30"/>
      <c r="GC3" s="30"/>
      <c r="GD3" s="30"/>
      <c r="GE3" s="30"/>
      <c r="GF3" s="30"/>
      <c r="GG3" s="30"/>
      <c r="GH3" s="30"/>
      <c r="GI3" s="30"/>
      <c r="GJ3" s="30"/>
      <c r="GK3" s="30"/>
      <c r="GL3" s="30"/>
      <c r="GM3" s="30"/>
      <c r="GN3" s="30"/>
      <c r="GO3" s="30"/>
      <c r="GP3" s="30"/>
    </row>
    <row r="4" spans="2:198" ht="7.5" customHeight="1" thickBot="1" x14ac:dyDescent="0.3">
      <c r="B4" s="143"/>
      <c r="C4" s="144"/>
      <c r="D4" s="144"/>
      <c r="E4" s="144"/>
      <c r="F4" s="144"/>
      <c r="G4" s="144"/>
      <c r="H4" s="144"/>
      <c r="I4" s="144"/>
      <c r="J4" s="144"/>
      <c r="K4" s="144"/>
      <c r="L4" s="144"/>
      <c r="M4" s="144"/>
      <c r="N4" s="144"/>
      <c r="O4" s="144"/>
      <c r="P4" s="144"/>
      <c r="Q4" s="144"/>
      <c r="R4" s="144"/>
      <c r="S4" s="144"/>
      <c r="T4" s="145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30"/>
      <c r="CS4" s="30"/>
      <c r="CT4" s="30"/>
      <c r="CU4" s="30"/>
      <c r="CV4" s="30"/>
      <c r="CW4" s="30"/>
      <c r="CX4" s="30"/>
      <c r="CY4" s="30"/>
      <c r="CZ4" s="30"/>
      <c r="DA4" s="30"/>
      <c r="DB4" s="30"/>
      <c r="DC4" s="30"/>
      <c r="DD4" s="30"/>
      <c r="DE4" s="30"/>
      <c r="DF4" s="30"/>
      <c r="DG4" s="30"/>
      <c r="DH4" s="30"/>
      <c r="DI4" s="30"/>
      <c r="DJ4" s="30"/>
      <c r="DK4" s="30"/>
      <c r="DL4" s="30"/>
      <c r="DM4" s="30"/>
      <c r="DN4" s="30"/>
      <c r="DO4" s="30"/>
      <c r="DP4" s="30"/>
      <c r="DQ4" s="30"/>
      <c r="DR4" s="30"/>
      <c r="DS4" s="30"/>
      <c r="DT4" s="30"/>
      <c r="DU4" s="30"/>
      <c r="DV4" s="30"/>
      <c r="DW4" s="30"/>
      <c r="DX4" s="30"/>
      <c r="DY4" s="30"/>
      <c r="DZ4" s="30"/>
      <c r="EA4" s="30"/>
      <c r="EB4" s="30"/>
      <c r="EC4" s="30"/>
      <c r="ED4" s="30"/>
      <c r="EE4" s="30"/>
      <c r="EF4" s="30"/>
      <c r="EG4" s="30"/>
      <c r="EH4" s="30"/>
      <c r="EI4" s="30"/>
      <c r="EJ4" s="30"/>
      <c r="EK4" s="30"/>
      <c r="EL4" s="30"/>
      <c r="EM4" s="30"/>
      <c r="EN4" s="30"/>
      <c r="EO4" s="30"/>
      <c r="EP4" s="30"/>
      <c r="EQ4" s="30"/>
      <c r="ER4" s="30"/>
      <c r="ES4" s="30"/>
      <c r="ET4" s="30"/>
      <c r="EU4" s="30"/>
      <c r="EV4" s="30"/>
      <c r="EW4" s="30"/>
      <c r="EX4" s="30"/>
      <c r="EY4" s="30"/>
      <c r="EZ4" s="30"/>
      <c r="FA4" s="30"/>
      <c r="FB4" s="30"/>
      <c r="FC4" s="30"/>
      <c r="FD4" s="30"/>
      <c r="FE4" s="30"/>
      <c r="FF4" s="30"/>
      <c r="FG4" s="30"/>
      <c r="FH4" s="30"/>
      <c r="FI4" s="30"/>
      <c r="FJ4" s="30"/>
      <c r="FK4" s="30"/>
      <c r="FL4" s="30"/>
      <c r="FM4" s="30"/>
      <c r="FN4" s="30"/>
      <c r="FO4" s="30"/>
      <c r="FP4" s="30"/>
      <c r="FQ4" s="30"/>
      <c r="FR4" s="30"/>
      <c r="FS4" s="30"/>
      <c r="FT4" s="30"/>
      <c r="FU4" s="30"/>
      <c r="FV4" s="30"/>
      <c r="FW4" s="30"/>
      <c r="FX4" s="30"/>
      <c r="FY4" s="30"/>
      <c r="FZ4" s="30"/>
      <c r="GA4" s="30"/>
      <c r="GB4" s="30"/>
      <c r="GC4" s="30"/>
      <c r="GD4" s="30"/>
      <c r="GE4" s="30"/>
      <c r="GF4" s="30"/>
      <c r="GG4" s="30"/>
      <c r="GH4" s="30"/>
      <c r="GI4" s="30"/>
      <c r="GJ4" s="30"/>
      <c r="GK4" s="30"/>
      <c r="GL4" s="30"/>
      <c r="GM4" s="30"/>
      <c r="GN4" s="30"/>
      <c r="GO4" s="30"/>
      <c r="GP4" s="30"/>
    </row>
    <row r="5" spans="2:198" ht="13.8" thickBot="1" x14ac:dyDescent="0.3">
      <c r="B5" s="41" t="s">
        <v>139</v>
      </c>
      <c r="C5" s="42"/>
      <c r="D5" s="43"/>
      <c r="E5" s="43"/>
      <c r="F5" s="42"/>
      <c r="G5" s="43"/>
      <c r="H5" s="43"/>
      <c r="I5" s="42"/>
      <c r="J5" s="43"/>
      <c r="K5" s="44"/>
      <c r="L5" s="44"/>
      <c r="M5" s="44"/>
      <c r="N5" s="44"/>
      <c r="O5" s="44"/>
      <c r="P5" s="44"/>
      <c r="Q5" s="44"/>
      <c r="R5" s="44"/>
      <c r="S5" s="44"/>
      <c r="T5" s="45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</row>
    <row r="6" spans="2:198" ht="13.8" thickBot="1" x14ac:dyDescent="0.3">
      <c r="B6" s="127" t="s">
        <v>140</v>
      </c>
      <c r="C6" s="127" t="s">
        <v>141</v>
      </c>
      <c r="D6" s="132" t="s">
        <v>142</v>
      </c>
      <c r="E6" s="133"/>
      <c r="F6" s="134"/>
      <c r="G6" s="127" t="s">
        <v>143</v>
      </c>
      <c r="H6" s="148" t="s">
        <v>118</v>
      </c>
      <c r="I6" s="149"/>
      <c r="J6" s="149"/>
      <c r="K6" s="149"/>
      <c r="L6" s="149"/>
      <c r="M6" s="149"/>
      <c r="N6" s="149"/>
      <c r="O6" s="150"/>
      <c r="P6" s="127" t="s">
        <v>144</v>
      </c>
      <c r="Q6" s="127" t="s">
        <v>145</v>
      </c>
      <c r="R6" s="127" t="s">
        <v>146</v>
      </c>
      <c r="S6" s="127" t="s">
        <v>147</v>
      </c>
      <c r="T6" s="127" t="s">
        <v>137</v>
      </c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  <c r="EY6" s="30"/>
      <c r="EZ6" s="30"/>
      <c r="FA6" s="30"/>
      <c r="FB6" s="30"/>
      <c r="FC6" s="30"/>
      <c r="FD6" s="30"/>
      <c r="FE6" s="30"/>
      <c r="FF6" s="30"/>
      <c r="FG6" s="30"/>
      <c r="FH6" s="30"/>
      <c r="FI6" s="30"/>
      <c r="FJ6" s="30"/>
      <c r="FK6" s="30"/>
      <c r="FL6" s="30"/>
      <c r="FM6" s="30"/>
      <c r="FN6" s="30"/>
      <c r="FO6" s="30"/>
      <c r="FP6" s="30"/>
      <c r="FQ6" s="30"/>
      <c r="FR6" s="30"/>
      <c r="FS6" s="30"/>
      <c r="FT6" s="30"/>
      <c r="FU6" s="30"/>
      <c r="FV6" s="30"/>
      <c r="FW6" s="30"/>
      <c r="FX6" s="30"/>
      <c r="FY6" s="30"/>
      <c r="FZ6" s="30"/>
      <c r="GA6" s="30"/>
      <c r="GB6" s="30"/>
      <c r="GC6" s="30"/>
      <c r="GD6" s="30"/>
      <c r="GE6" s="30"/>
      <c r="GF6" s="30"/>
      <c r="GG6" s="30"/>
      <c r="GH6" s="30"/>
      <c r="GI6" s="30"/>
      <c r="GJ6" s="30"/>
      <c r="GK6" s="30"/>
      <c r="GL6" s="30"/>
      <c r="GM6" s="30"/>
      <c r="GN6" s="30"/>
      <c r="GO6" s="30"/>
      <c r="GP6" s="30"/>
    </row>
    <row r="7" spans="2:198" ht="13.8" thickBot="1" x14ac:dyDescent="0.3">
      <c r="B7" s="128"/>
      <c r="C7" s="146"/>
      <c r="D7" s="9" t="s">
        <v>148</v>
      </c>
      <c r="E7" s="9" t="s">
        <v>149</v>
      </c>
      <c r="F7" s="9" t="s">
        <v>150</v>
      </c>
      <c r="G7" s="147"/>
      <c r="H7" s="129" t="s">
        <v>151</v>
      </c>
      <c r="I7" s="136"/>
      <c r="J7" s="129" t="s">
        <v>136</v>
      </c>
      <c r="K7" s="136"/>
      <c r="L7" s="135" t="s">
        <v>152</v>
      </c>
      <c r="M7" s="130"/>
      <c r="N7" s="129" t="s">
        <v>153</v>
      </c>
      <c r="O7" s="131"/>
      <c r="P7" s="128"/>
      <c r="Q7" s="128"/>
      <c r="R7" s="128"/>
      <c r="S7" s="128"/>
      <c r="T7" s="128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  <c r="EY7" s="30"/>
      <c r="EZ7" s="30"/>
      <c r="FA7" s="30"/>
      <c r="FB7" s="30"/>
      <c r="FC7" s="30"/>
      <c r="FD7" s="30"/>
      <c r="FE7" s="30"/>
      <c r="FF7" s="30"/>
      <c r="FG7" s="30"/>
      <c r="FH7" s="30"/>
      <c r="FI7" s="30"/>
      <c r="FJ7" s="30"/>
      <c r="FK7" s="30"/>
      <c r="FL7" s="30"/>
      <c r="FM7" s="30"/>
      <c r="FN7" s="30"/>
      <c r="FO7" s="30"/>
      <c r="FP7" s="30"/>
      <c r="FQ7" s="30"/>
      <c r="FR7" s="30"/>
      <c r="FS7" s="30"/>
      <c r="FT7" s="30"/>
      <c r="FU7" s="30"/>
      <c r="FV7" s="30"/>
      <c r="FW7" s="30"/>
      <c r="FX7" s="30"/>
      <c r="FY7" s="30"/>
      <c r="FZ7" s="30"/>
      <c r="GA7" s="30"/>
      <c r="GB7" s="30"/>
      <c r="GC7" s="30"/>
      <c r="GD7" s="30"/>
      <c r="GE7" s="30"/>
      <c r="GF7" s="30"/>
      <c r="GG7" s="30"/>
      <c r="GH7" s="30"/>
      <c r="GI7" s="30"/>
      <c r="GJ7" s="30"/>
      <c r="GK7" s="30"/>
      <c r="GL7" s="30"/>
      <c r="GM7" s="30"/>
      <c r="GN7" s="30"/>
      <c r="GO7" s="30"/>
      <c r="GP7" s="30"/>
    </row>
    <row r="8" spans="2:198" s="29" customFormat="1" x14ac:dyDescent="0.25">
      <c r="B8" s="2" t="e">
        <f>IF(#REF!=0,"",#REF!)</f>
        <v>#REF!</v>
      </c>
      <c r="C8" s="3" t="e">
        <f>IF(COUNTIF(#REF!,"OK")+COUNTIF(#REF!,"NOK")+COUNTIF(#REF!,"PDTE")+COUNTIF(#REF!,"N/A")=0,"",COUNTIF(#REF!,"OK")+COUNTIF(#REF!,"NOK")+COUNTIF(#REF!,"PDTE")+COUNTIF(#REF!,"N/A"))</f>
        <v>#REF!</v>
      </c>
      <c r="D8" s="4"/>
      <c r="E8" s="4"/>
      <c r="F8" s="4"/>
      <c r="G8" s="3" t="e">
        <f>IF(COUNTIF(#REF!,"N/A")=0,"",COUNTIF(#REF!,"N/A"))</f>
        <v>#REF!</v>
      </c>
      <c r="H8" s="3" t="e">
        <f>IF(COUNTIF(#REF!,"OK")+COUNTIF(#REF!,"NOK")=0,"",COUNTIF(#REF!,"OK")+COUNTIF(#REF!,"NOK"))</f>
        <v>#REF!</v>
      </c>
      <c r="I8" s="26" t="e">
        <f>IF(OR(C8=" ",OR(H8="",H8=0)),"",H8/C8)</f>
        <v>#REF!</v>
      </c>
      <c r="J8" s="11" t="e">
        <f>IF(COUNTIF(#REF!,"OK")=0,"",COUNTIF(#REF!,"OK"))</f>
        <v>#REF!</v>
      </c>
      <c r="K8" s="26" t="e">
        <f>IF(OR(C8=" ",OR(J8="",J8=0)),"",J8/C8)</f>
        <v>#REF!</v>
      </c>
      <c r="L8" s="11" t="e">
        <f>IF(COUNTIF(#REF!,"NOK")=0,"",COUNTIF(#REF!,"NOK"))</f>
        <v>#REF!</v>
      </c>
      <c r="M8" s="27" t="e">
        <f>IF(OR(C8=" ",OR(L8="",L8=0)),"",L8/C8)</f>
        <v>#REF!</v>
      </c>
      <c r="N8" s="21" t="e">
        <f>IF(COUNTIF(#REF!,"PDTE")=0,"",COUNTIF(#REF!,"PDTE"))</f>
        <v>#REF!</v>
      </c>
      <c r="O8" s="26" t="e">
        <f>IF(OR(C8=" ",OR(N8="",N8=0)),"",N8/C8)</f>
        <v>#REF!</v>
      </c>
      <c r="P8" s="26" t="e">
        <f>IF(OR(H8=0,H8=""),"",SUM(J8)/H8)</f>
        <v>#REF!</v>
      </c>
      <c r="Q8" s="26" t="e">
        <f>IF(OR(H8=0,H8=""),"",SUM(D8:F8)/H8)</f>
        <v>#REF!</v>
      </c>
      <c r="R8" s="26" t="e">
        <f>IF(Q8="","",1-Q8)</f>
        <v>#REF!</v>
      </c>
      <c r="S8" s="26" t="e">
        <f>IF(OR(I8="",I8=0),"",I8)</f>
        <v>#REF!</v>
      </c>
      <c r="T8" s="2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  <c r="EY8" s="38"/>
      <c r="EZ8" s="38"/>
      <c r="FA8" s="38"/>
      <c r="FB8" s="38"/>
      <c r="FC8" s="38"/>
      <c r="FD8" s="38"/>
      <c r="FE8" s="38"/>
      <c r="FF8" s="38"/>
      <c r="FG8" s="38"/>
      <c r="FH8" s="38"/>
      <c r="FI8" s="38"/>
      <c r="FJ8" s="38"/>
      <c r="FK8" s="38"/>
      <c r="FL8" s="38"/>
      <c r="FM8" s="38"/>
      <c r="FN8" s="38"/>
      <c r="FO8" s="38"/>
      <c r="FP8" s="38"/>
      <c r="FQ8" s="38"/>
      <c r="FR8" s="38"/>
      <c r="FS8" s="38"/>
      <c r="FT8" s="38"/>
      <c r="FU8" s="38"/>
      <c r="FV8" s="38"/>
      <c r="FW8" s="38"/>
      <c r="FX8" s="38"/>
      <c r="FY8" s="38"/>
      <c r="FZ8" s="38"/>
      <c r="GA8" s="38"/>
      <c r="GB8" s="38"/>
      <c r="GC8" s="38"/>
      <c r="GD8" s="38"/>
      <c r="GE8" s="38"/>
      <c r="GF8" s="38"/>
      <c r="GG8" s="38"/>
      <c r="GH8" s="38"/>
      <c r="GI8" s="38"/>
      <c r="GJ8" s="38"/>
      <c r="GK8" s="38"/>
      <c r="GL8" s="38"/>
      <c r="GM8" s="38"/>
      <c r="GN8" s="38"/>
      <c r="GO8" s="38"/>
      <c r="GP8" s="38"/>
    </row>
    <row r="9" spans="2:198" s="7" customFormat="1" x14ac:dyDescent="0.25">
      <c r="B9" s="2"/>
      <c r="C9" s="4"/>
      <c r="D9" s="4"/>
      <c r="E9" s="4"/>
      <c r="F9" s="4"/>
      <c r="G9" s="4"/>
      <c r="H9" s="4"/>
      <c r="I9" s="5" t="str">
        <f>IF(OR(C9=" ",OR(H9="",H9="")),"",H9/C9)</f>
        <v/>
      </c>
      <c r="J9" s="12"/>
      <c r="K9" s="5" t="str">
        <f>IF(OR(C9="",OR(J9="")),"",J9/C9)</f>
        <v/>
      </c>
      <c r="L9" s="12"/>
      <c r="M9" s="18" t="str">
        <f>IF(OR(C9=" ",OR(L9="",L9=0)),"",L9/C9)</f>
        <v/>
      </c>
      <c r="N9" s="4"/>
      <c r="O9" s="6" t="str">
        <f>IF(OR(C9=" ",OR(N9="",N9=0)),"",N9/C9)</f>
        <v/>
      </c>
      <c r="P9" s="6" t="str">
        <f>IF(OR(H9=0,H9=""),"",J9/H9)</f>
        <v/>
      </c>
      <c r="Q9" s="6" t="str">
        <f>IF(OR(H9=0,H9=""),"",SUM(D9:E9)/H9)</f>
        <v/>
      </c>
      <c r="R9" s="6" t="str">
        <f>IF(Q9="","",1-Q9)</f>
        <v/>
      </c>
      <c r="S9" s="6" t="str">
        <f>IF(OR(I9="",I9=0),"",I9)</f>
        <v/>
      </c>
      <c r="T9" s="13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39"/>
      <c r="BQ9" s="39"/>
      <c r="BR9" s="39"/>
      <c r="BS9" s="39"/>
      <c r="BT9" s="39"/>
      <c r="BU9" s="39"/>
      <c r="BV9" s="39"/>
      <c r="BW9" s="39"/>
      <c r="BX9" s="39"/>
      <c r="BY9" s="39"/>
      <c r="BZ9" s="39"/>
      <c r="CA9" s="39"/>
      <c r="CB9" s="39"/>
      <c r="CC9" s="39"/>
      <c r="CD9" s="39"/>
      <c r="CE9" s="39"/>
      <c r="CF9" s="39"/>
      <c r="CG9" s="39"/>
      <c r="CH9" s="39"/>
      <c r="CI9" s="39"/>
      <c r="CJ9" s="39"/>
      <c r="CK9" s="39"/>
      <c r="CL9" s="39"/>
      <c r="CM9" s="39"/>
      <c r="CN9" s="39"/>
      <c r="CO9" s="39"/>
      <c r="CP9" s="39"/>
      <c r="CQ9" s="39"/>
      <c r="CR9" s="39"/>
      <c r="CS9" s="39"/>
      <c r="CT9" s="39"/>
      <c r="CU9" s="39"/>
      <c r="CV9" s="39"/>
      <c r="CW9" s="39"/>
      <c r="CX9" s="39"/>
      <c r="CY9" s="39"/>
      <c r="CZ9" s="39"/>
      <c r="DA9" s="39"/>
      <c r="DB9" s="39"/>
      <c r="DC9" s="39"/>
      <c r="DD9" s="39"/>
      <c r="DE9" s="39"/>
      <c r="DF9" s="39"/>
      <c r="DG9" s="39"/>
      <c r="DH9" s="39"/>
      <c r="DI9" s="39"/>
      <c r="DJ9" s="39"/>
      <c r="DK9" s="39"/>
      <c r="DL9" s="39"/>
      <c r="DM9" s="39"/>
      <c r="DN9" s="39"/>
      <c r="DO9" s="39"/>
      <c r="DP9" s="39"/>
      <c r="DQ9" s="39"/>
      <c r="DR9" s="39"/>
      <c r="DS9" s="39"/>
      <c r="DT9" s="39"/>
      <c r="DU9" s="39"/>
      <c r="DV9" s="39"/>
      <c r="DW9" s="39"/>
      <c r="DX9" s="39"/>
      <c r="DY9" s="39"/>
      <c r="DZ9" s="39"/>
      <c r="EA9" s="39"/>
      <c r="EB9" s="39"/>
      <c r="EC9" s="39"/>
      <c r="ED9" s="39"/>
      <c r="EE9" s="39"/>
      <c r="EF9" s="39"/>
      <c r="EG9" s="39"/>
      <c r="EH9" s="39"/>
      <c r="EI9" s="39"/>
      <c r="EJ9" s="39"/>
      <c r="EK9" s="39"/>
      <c r="EL9" s="39"/>
      <c r="EM9" s="39"/>
      <c r="EN9" s="39"/>
      <c r="EO9" s="39"/>
      <c r="EP9" s="39"/>
      <c r="EQ9" s="39"/>
      <c r="ER9" s="39"/>
      <c r="ES9" s="39"/>
      <c r="ET9" s="39"/>
      <c r="EU9" s="39"/>
      <c r="EV9" s="39"/>
      <c r="EW9" s="39"/>
      <c r="EX9" s="39"/>
      <c r="EY9" s="39"/>
      <c r="EZ9" s="39"/>
      <c r="FA9" s="39"/>
      <c r="FB9" s="39"/>
      <c r="FC9" s="39"/>
      <c r="FD9" s="39"/>
      <c r="FE9" s="39"/>
      <c r="FF9" s="39"/>
      <c r="FG9" s="39"/>
      <c r="FH9" s="39"/>
      <c r="FI9" s="39"/>
      <c r="FJ9" s="39"/>
      <c r="FK9" s="39"/>
      <c r="FL9" s="39"/>
      <c r="FM9" s="39"/>
      <c r="FN9" s="39"/>
      <c r="FO9" s="39"/>
      <c r="FP9" s="39"/>
      <c r="FQ9" s="39"/>
      <c r="FR9" s="39"/>
      <c r="FS9" s="39"/>
      <c r="FT9" s="39"/>
      <c r="FU9" s="39"/>
      <c r="FV9" s="39"/>
      <c r="FW9" s="39"/>
      <c r="FX9" s="39"/>
      <c r="FY9" s="39"/>
      <c r="FZ9" s="39"/>
      <c r="GA9" s="39"/>
      <c r="GB9" s="39"/>
      <c r="GC9" s="39"/>
      <c r="GD9" s="39"/>
      <c r="GE9" s="39"/>
      <c r="GF9" s="39"/>
      <c r="GG9" s="39"/>
      <c r="GH9" s="39"/>
      <c r="GI9" s="39"/>
      <c r="GJ9" s="39"/>
      <c r="GK9" s="39"/>
      <c r="GL9" s="39"/>
      <c r="GM9" s="39"/>
      <c r="GN9" s="39"/>
      <c r="GO9" s="39"/>
      <c r="GP9" s="39"/>
    </row>
    <row r="10" spans="2:198" s="7" customFormat="1" x14ac:dyDescent="0.25">
      <c r="B10" s="2"/>
      <c r="C10" s="4"/>
      <c r="D10" s="4"/>
      <c r="E10" s="4"/>
      <c r="F10" s="4"/>
      <c r="G10" s="4"/>
      <c r="H10" s="4"/>
      <c r="I10" s="5" t="str">
        <f>IF(OR(C10=" ",OR(H10="",H10="")),"",H10/C10)</f>
        <v/>
      </c>
      <c r="J10" s="12"/>
      <c r="K10" s="5" t="str">
        <f>IF(OR(C10="",OR(J10="")),"",J10/C10)</f>
        <v/>
      </c>
      <c r="L10" s="12"/>
      <c r="M10" s="18" t="str">
        <f>IF(OR(C10=" ",OR(L10="",L10=0)),"",L10/C10)</f>
        <v/>
      </c>
      <c r="N10" s="4"/>
      <c r="O10" s="6" t="str">
        <f>IF(OR(C10=" ",OR(N10="",N10=0)),"",N10/C10)</f>
        <v/>
      </c>
      <c r="P10" s="6" t="str">
        <f>IF(OR(H10=0,H10=""),"",J10/H10)</f>
        <v/>
      </c>
      <c r="Q10" s="6" t="str">
        <f>IF(OR(H10=0,H10=""),"",SUM(D10:E10)/H10)</f>
        <v/>
      </c>
      <c r="R10" s="6" t="str">
        <f>IF(Q10="","",1-Q10)</f>
        <v/>
      </c>
      <c r="S10" s="6" t="str">
        <f>IF(OR(I10="",I10=0),"",I10)</f>
        <v/>
      </c>
      <c r="T10" s="13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  <c r="AY10" s="39"/>
      <c r="AZ10" s="39"/>
      <c r="BA10" s="39"/>
      <c r="BB10" s="39"/>
      <c r="BC10" s="39"/>
      <c r="BD10" s="39"/>
      <c r="BE10" s="39"/>
      <c r="BF10" s="39"/>
      <c r="BG10" s="39"/>
      <c r="BH10" s="39"/>
      <c r="BI10" s="39"/>
      <c r="BJ10" s="39"/>
      <c r="BK10" s="39"/>
      <c r="BL10" s="39"/>
      <c r="BM10" s="39"/>
      <c r="BN10" s="39"/>
      <c r="BO10" s="39"/>
      <c r="BP10" s="39"/>
      <c r="BQ10" s="39"/>
      <c r="BR10" s="39"/>
      <c r="BS10" s="39"/>
      <c r="BT10" s="39"/>
      <c r="BU10" s="39"/>
      <c r="BV10" s="39"/>
      <c r="BW10" s="39"/>
      <c r="BX10" s="39"/>
      <c r="BY10" s="39"/>
      <c r="BZ10" s="39"/>
      <c r="CA10" s="39"/>
      <c r="CB10" s="39"/>
      <c r="CC10" s="39"/>
      <c r="CD10" s="39"/>
      <c r="CE10" s="39"/>
      <c r="CF10" s="39"/>
      <c r="CG10" s="39"/>
      <c r="CH10" s="39"/>
      <c r="CI10" s="39"/>
      <c r="CJ10" s="39"/>
      <c r="CK10" s="39"/>
      <c r="CL10" s="39"/>
      <c r="CM10" s="39"/>
      <c r="CN10" s="39"/>
      <c r="CO10" s="39"/>
      <c r="CP10" s="39"/>
      <c r="CQ10" s="39"/>
      <c r="CR10" s="39"/>
      <c r="CS10" s="39"/>
      <c r="CT10" s="39"/>
      <c r="CU10" s="39"/>
      <c r="CV10" s="39"/>
      <c r="CW10" s="39"/>
      <c r="CX10" s="39"/>
      <c r="CY10" s="39"/>
      <c r="CZ10" s="39"/>
      <c r="DA10" s="39"/>
      <c r="DB10" s="39"/>
      <c r="DC10" s="39"/>
      <c r="DD10" s="39"/>
      <c r="DE10" s="39"/>
      <c r="DF10" s="39"/>
      <c r="DG10" s="39"/>
      <c r="DH10" s="39"/>
      <c r="DI10" s="39"/>
      <c r="DJ10" s="39"/>
      <c r="DK10" s="39"/>
      <c r="DL10" s="39"/>
      <c r="DM10" s="39"/>
      <c r="DN10" s="39"/>
      <c r="DO10" s="39"/>
      <c r="DP10" s="39"/>
      <c r="DQ10" s="39"/>
      <c r="DR10" s="39"/>
      <c r="DS10" s="39"/>
      <c r="DT10" s="39"/>
      <c r="DU10" s="39"/>
      <c r="DV10" s="39"/>
      <c r="DW10" s="39"/>
      <c r="DX10" s="39"/>
      <c r="DY10" s="39"/>
      <c r="DZ10" s="39"/>
      <c r="EA10" s="39"/>
      <c r="EB10" s="39"/>
      <c r="EC10" s="39"/>
      <c r="ED10" s="39"/>
      <c r="EE10" s="39"/>
      <c r="EF10" s="39"/>
      <c r="EG10" s="39"/>
      <c r="EH10" s="39"/>
      <c r="EI10" s="39"/>
      <c r="EJ10" s="39"/>
      <c r="EK10" s="39"/>
      <c r="EL10" s="39"/>
      <c r="EM10" s="39"/>
      <c r="EN10" s="39"/>
      <c r="EO10" s="39"/>
      <c r="EP10" s="39"/>
      <c r="EQ10" s="39"/>
      <c r="ER10" s="39"/>
      <c r="ES10" s="39"/>
      <c r="ET10" s="39"/>
      <c r="EU10" s="39"/>
      <c r="EV10" s="39"/>
      <c r="EW10" s="39"/>
      <c r="EX10" s="39"/>
      <c r="EY10" s="39"/>
      <c r="EZ10" s="39"/>
      <c r="FA10" s="39"/>
      <c r="FB10" s="39"/>
      <c r="FC10" s="39"/>
      <c r="FD10" s="39"/>
      <c r="FE10" s="39"/>
      <c r="FF10" s="39"/>
      <c r="FG10" s="39"/>
      <c r="FH10" s="39"/>
      <c r="FI10" s="39"/>
      <c r="FJ10" s="39"/>
      <c r="FK10" s="39"/>
      <c r="FL10" s="39"/>
      <c r="FM10" s="39"/>
      <c r="FN10" s="39"/>
      <c r="FO10" s="39"/>
      <c r="FP10" s="39"/>
      <c r="FQ10" s="39"/>
      <c r="FR10" s="39"/>
      <c r="FS10" s="39"/>
      <c r="FT10" s="39"/>
      <c r="FU10" s="39"/>
      <c r="FV10" s="39"/>
      <c r="FW10" s="39"/>
      <c r="FX10" s="39"/>
      <c r="FY10" s="39"/>
      <c r="FZ10" s="39"/>
      <c r="GA10" s="39"/>
      <c r="GB10" s="39"/>
      <c r="GC10" s="39"/>
      <c r="GD10" s="39"/>
      <c r="GE10" s="39"/>
      <c r="GF10" s="39"/>
      <c r="GG10" s="39"/>
      <c r="GH10" s="39"/>
      <c r="GI10" s="39"/>
      <c r="GJ10" s="39"/>
      <c r="GK10" s="39"/>
      <c r="GL10" s="39"/>
      <c r="GM10" s="39"/>
      <c r="GN10" s="39"/>
      <c r="GO10" s="39"/>
      <c r="GP10" s="39"/>
    </row>
    <row r="11" spans="2:198" ht="14.4" thickBot="1" x14ac:dyDescent="0.3">
      <c r="B11" s="14" t="s">
        <v>154</v>
      </c>
      <c r="C11" s="15" t="e">
        <f t="shared" ref="C11:H11" si="0">IF(OR(C8=0,C8=""),"",SUM(C8:C10))</f>
        <v>#REF!</v>
      </c>
      <c r="D11" s="15" t="str">
        <f t="shared" si="0"/>
        <v/>
      </c>
      <c r="E11" s="15" t="str">
        <f t="shared" si="0"/>
        <v/>
      </c>
      <c r="F11" s="15" t="str">
        <f t="shared" si="0"/>
        <v/>
      </c>
      <c r="G11" s="15" t="e">
        <f t="shared" si="0"/>
        <v>#REF!</v>
      </c>
      <c r="H11" s="15" t="e">
        <f t="shared" si="0"/>
        <v>#REF!</v>
      </c>
      <c r="I11" s="1" t="e">
        <f>IF(OR(H11=0,H11=""),"",AVERAGE(I8:I10))</f>
        <v>#REF!</v>
      </c>
      <c r="J11" s="15" t="e">
        <f>IF(OR(J8=0,J8=""),"",SUM(J8:J10))</f>
        <v>#REF!</v>
      </c>
      <c r="K11" s="1" t="e">
        <f>IF(OR(J11=0,J11=""),"",AVERAGE(K8:K10))</f>
        <v>#REF!</v>
      </c>
      <c r="L11" s="15" t="e">
        <f>IF(OR(L8=0,L8=""),"",SUM(L8:L10))</f>
        <v>#REF!</v>
      </c>
      <c r="M11" s="19" t="e">
        <f>IF(OR(L11=0,L11=""),"",AVERAGE(M8:M10))</f>
        <v>#REF!</v>
      </c>
      <c r="N11" s="20" t="e">
        <f>IF(OR(N8=0,N8=""),"",SUM(N8:N10))</f>
        <v>#REF!</v>
      </c>
      <c r="O11" s="1" t="e">
        <f>IF(OR(N11=0,N11=""),"",AVERAGE(O8:O10))</f>
        <v>#REF!</v>
      </c>
      <c r="P11" s="1" t="e">
        <f>IF(OR(P8=""),"",AVERAGE(P8:P10))</f>
        <v>#REF!</v>
      </c>
      <c r="Q11" s="1" t="e">
        <f>IF(OR(Q8=""),"",AVERAGE(Q8:Q10))</f>
        <v>#REF!</v>
      </c>
      <c r="R11" s="1" t="e">
        <f>IF(OR(R8=0,R8=""),"",AVERAGE(R8:R10))</f>
        <v>#REF!</v>
      </c>
      <c r="S11" s="1" t="e">
        <f>IF(OR(S8=0,S8=""),"",AVERAGE(S8:S10))</f>
        <v>#REF!</v>
      </c>
      <c r="T11" s="25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  <c r="BD11" s="30"/>
      <c r="BE11" s="30"/>
      <c r="BF11" s="30"/>
      <c r="BG11" s="30"/>
      <c r="BH11" s="30"/>
      <c r="BI11" s="30"/>
      <c r="BJ11" s="30"/>
      <c r="BK11" s="30"/>
      <c r="BL11" s="30"/>
      <c r="BM11" s="30"/>
      <c r="BN11" s="30"/>
      <c r="BO11" s="30"/>
      <c r="BP11" s="30"/>
      <c r="BQ11" s="30"/>
      <c r="BR11" s="30"/>
      <c r="BS11" s="30"/>
      <c r="BT11" s="30"/>
      <c r="BU11" s="30"/>
      <c r="BV11" s="30"/>
      <c r="BW11" s="30"/>
      <c r="BX11" s="30"/>
      <c r="BY11" s="30"/>
      <c r="BZ11" s="30"/>
      <c r="CA11" s="30"/>
      <c r="CB11" s="30"/>
      <c r="CC11" s="30"/>
      <c r="CD11" s="30"/>
      <c r="CE11" s="30"/>
      <c r="CF11" s="30"/>
      <c r="CG11" s="30"/>
      <c r="CH11" s="30"/>
      <c r="CI11" s="30"/>
      <c r="CJ11" s="30"/>
      <c r="CK11" s="30"/>
      <c r="CL11" s="30"/>
      <c r="CM11" s="30"/>
      <c r="CN11" s="30"/>
      <c r="CO11" s="30"/>
      <c r="CP11" s="30"/>
      <c r="CQ11" s="30"/>
      <c r="CR11" s="30"/>
      <c r="CS11" s="30"/>
      <c r="CT11" s="30"/>
      <c r="CU11" s="30"/>
      <c r="CV11" s="30"/>
      <c r="CW11" s="30"/>
      <c r="CX11" s="30"/>
      <c r="CY11" s="30"/>
      <c r="CZ11" s="30"/>
      <c r="DA11" s="30"/>
      <c r="DB11" s="30"/>
      <c r="DC11" s="30"/>
      <c r="DD11" s="30"/>
      <c r="DE11" s="30"/>
      <c r="DF11" s="30"/>
      <c r="DG11" s="30"/>
      <c r="DH11" s="30"/>
      <c r="DI11" s="30"/>
      <c r="DJ11" s="30"/>
      <c r="DK11" s="30"/>
      <c r="DL11" s="30"/>
      <c r="DM11" s="30"/>
      <c r="DN11" s="30"/>
      <c r="DO11" s="30"/>
      <c r="DP11" s="30"/>
      <c r="DQ11" s="30"/>
      <c r="DR11" s="30"/>
      <c r="DS11" s="30"/>
      <c r="DT11" s="30"/>
      <c r="DU11" s="30"/>
      <c r="DV11" s="30"/>
      <c r="DW11" s="30"/>
      <c r="DX11" s="30"/>
      <c r="DY11" s="30"/>
      <c r="DZ11" s="30"/>
      <c r="EA11" s="30"/>
      <c r="EB11" s="30"/>
      <c r="EC11" s="30"/>
      <c r="ED11" s="30"/>
      <c r="EE11" s="30"/>
      <c r="EF11" s="30"/>
      <c r="EG11" s="30"/>
      <c r="EH11" s="30"/>
      <c r="EI11" s="30"/>
      <c r="EJ11" s="30"/>
      <c r="EK11" s="30"/>
      <c r="EL11" s="30"/>
      <c r="EM11" s="30"/>
      <c r="EN11" s="30"/>
      <c r="EO11" s="30"/>
      <c r="EP11" s="30"/>
      <c r="EQ11" s="30"/>
      <c r="ER11" s="30"/>
      <c r="ES11" s="30"/>
      <c r="ET11" s="30"/>
      <c r="EU11" s="30"/>
      <c r="EV11" s="30"/>
      <c r="EW11" s="30"/>
      <c r="EX11" s="30"/>
      <c r="EY11" s="30"/>
      <c r="EZ11" s="30"/>
      <c r="FA11" s="30"/>
      <c r="FB11" s="30"/>
      <c r="FC11" s="30"/>
      <c r="FD11" s="30"/>
      <c r="FE11" s="30"/>
      <c r="FF11" s="30"/>
      <c r="FG11" s="30"/>
      <c r="FH11" s="30"/>
      <c r="FI11" s="30"/>
      <c r="FJ11" s="30"/>
      <c r="FK11" s="30"/>
      <c r="FL11" s="30"/>
      <c r="FM11" s="30"/>
      <c r="FN11" s="30"/>
      <c r="FO11" s="30"/>
      <c r="FP11" s="30"/>
      <c r="FQ11" s="30"/>
      <c r="FR11" s="30"/>
      <c r="FS11" s="30"/>
      <c r="FT11" s="30"/>
      <c r="FU11" s="30"/>
      <c r="FV11" s="30"/>
      <c r="FW11" s="30"/>
      <c r="FX11" s="30"/>
      <c r="FY11" s="30"/>
      <c r="FZ11" s="30"/>
      <c r="GA11" s="30"/>
      <c r="GB11" s="30"/>
      <c r="GC11" s="30"/>
      <c r="GD11" s="30"/>
      <c r="GE11" s="30"/>
      <c r="GF11" s="30"/>
      <c r="GG11" s="30"/>
      <c r="GH11" s="30"/>
      <c r="GI11" s="30"/>
      <c r="GJ11" s="30"/>
      <c r="GK11" s="30"/>
      <c r="GL11" s="30"/>
      <c r="GM11" s="30"/>
      <c r="GN11" s="30"/>
      <c r="GO11" s="30"/>
      <c r="GP11" s="30"/>
    </row>
    <row r="12" spans="2:198" x14ac:dyDescent="0.25">
      <c r="B12" s="34"/>
      <c r="C12" s="35"/>
      <c r="D12" s="32"/>
      <c r="E12" s="32"/>
      <c r="F12" s="35"/>
      <c r="G12" s="32"/>
      <c r="H12" s="32"/>
      <c r="I12" s="35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3"/>
      <c r="U12" s="4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  <c r="BA12" s="30"/>
      <c r="BB12" s="30"/>
      <c r="BC12" s="30"/>
      <c r="BD12" s="30"/>
      <c r="BE12" s="30"/>
      <c r="BF12" s="30"/>
      <c r="BG12" s="30"/>
      <c r="BH12" s="30"/>
      <c r="BI12" s="30"/>
      <c r="BJ12" s="30"/>
      <c r="BK12" s="30"/>
      <c r="BL12" s="30"/>
      <c r="BM12" s="30"/>
      <c r="BN12" s="30"/>
      <c r="BO12" s="30"/>
      <c r="BP12" s="30"/>
      <c r="BQ12" s="30"/>
      <c r="BR12" s="30"/>
      <c r="BS12" s="30"/>
      <c r="BT12" s="30"/>
      <c r="BU12" s="30"/>
      <c r="BV12" s="30"/>
      <c r="BW12" s="30"/>
      <c r="BX12" s="30"/>
      <c r="BY12" s="30"/>
      <c r="BZ12" s="30"/>
      <c r="CA12" s="30"/>
      <c r="CB12" s="30"/>
      <c r="CC12" s="30"/>
      <c r="CD12" s="30"/>
      <c r="CE12" s="30"/>
      <c r="CF12" s="30"/>
      <c r="CG12" s="30"/>
      <c r="CH12" s="30"/>
      <c r="CI12" s="30"/>
      <c r="CJ12" s="30"/>
      <c r="CK12" s="30"/>
      <c r="CL12" s="30"/>
      <c r="CM12" s="30"/>
      <c r="CN12" s="30"/>
      <c r="CO12" s="30"/>
      <c r="CP12" s="30"/>
      <c r="CQ12" s="30"/>
      <c r="CR12" s="30"/>
      <c r="CS12" s="30"/>
      <c r="CT12" s="30"/>
      <c r="CU12" s="30"/>
      <c r="CV12" s="30"/>
      <c r="CW12" s="30"/>
      <c r="CX12" s="30"/>
      <c r="CY12" s="30"/>
      <c r="CZ12" s="30"/>
      <c r="DA12" s="30"/>
      <c r="DB12" s="30"/>
      <c r="DC12" s="30"/>
      <c r="DD12" s="30"/>
      <c r="DE12" s="30"/>
      <c r="DF12" s="30"/>
      <c r="DG12" s="30"/>
      <c r="DH12" s="30"/>
      <c r="DI12" s="30"/>
      <c r="DJ12" s="30"/>
      <c r="DK12" s="30"/>
      <c r="DL12" s="30"/>
      <c r="DM12" s="30"/>
      <c r="DN12" s="30"/>
      <c r="DO12" s="30"/>
      <c r="DP12" s="30"/>
      <c r="DQ12" s="30"/>
      <c r="DR12" s="30"/>
      <c r="DS12" s="30"/>
      <c r="DT12" s="30"/>
      <c r="DU12" s="30"/>
      <c r="DV12" s="30"/>
      <c r="DW12" s="30"/>
      <c r="DX12" s="30"/>
      <c r="DY12" s="30"/>
      <c r="DZ12" s="30"/>
      <c r="EA12" s="30"/>
      <c r="EB12" s="30"/>
      <c r="EC12" s="30"/>
      <c r="ED12" s="30"/>
      <c r="EE12" s="30"/>
      <c r="EF12" s="30"/>
      <c r="EG12" s="30"/>
      <c r="EH12" s="30"/>
      <c r="EI12" s="30"/>
      <c r="EJ12" s="30"/>
      <c r="EK12" s="30"/>
      <c r="EL12" s="30"/>
      <c r="EM12" s="30"/>
      <c r="EN12" s="30"/>
      <c r="EO12" s="30"/>
      <c r="EP12" s="30"/>
      <c r="EQ12" s="30"/>
      <c r="ER12" s="30"/>
      <c r="ES12" s="30"/>
      <c r="ET12" s="30"/>
      <c r="EU12" s="30"/>
      <c r="EV12" s="30"/>
      <c r="EW12" s="30"/>
      <c r="EX12" s="30"/>
      <c r="EY12" s="30"/>
      <c r="EZ12" s="30"/>
      <c r="FA12" s="30"/>
      <c r="FB12" s="30"/>
      <c r="FC12" s="30"/>
      <c r="FD12" s="30"/>
      <c r="FE12" s="30"/>
      <c r="FF12" s="30"/>
      <c r="FG12" s="30"/>
      <c r="FH12" s="30"/>
      <c r="FI12" s="30"/>
      <c r="FJ12" s="30"/>
      <c r="FK12" s="30"/>
      <c r="FL12" s="30"/>
      <c r="FM12" s="30"/>
      <c r="FN12" s="30"/>
      <c r="FO12" s="30"/>
      <c r="FP12" s="30"/>
      <c r="FQ12" s="30"/>
      <c r="FR12" s="30"/>
      <c r="FS12" s="30"/>
      <c r="FT12" s="30"/>
      <c r="FU12" s="30"/>
      <c r="FV12" s="30"/>
      <c r="FW12" s="30"/>
      <c r="FX12" s="30"/>
      <c r="FY12" s="30"/>
      <c r="FZ12" s="30"/>
      <c r="GA12" s="30"/>
      <c r="GB12" s="30"/>
      <c r="GC12" s="30"/>
      <c r="GD12" s="30"/>
      <c r="GE12" s="30"/>
      <c r="GF12" s="30"/>
      <c r="GG12" s="30"/>
      <c r="GH12" s="30"/>
      <c r="GI12" s="30"/>
      <c r="GJ12" s="30"/>
      <c r="GK12" s="30"/>
      <c r="GL12" s="30"/>
      <c r="GM12" s="30"/>
      <c r="GN12" s="30"/>
      <c r="GO12" s="30"/>
      <c r="GP12" s="30"/>
    </row>
    <row r="13" spans="2:198" ht="13.8" thickBot="1" x14ac:dyDescent="0.3">
      <c r="B13" s="36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7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0"/>
      <c r="BD13" s="30"/>
      <c r="BE13" s="30"/>
      <c r="BF13" s="30"/>
      <c r="BG13" s="30"/>
      <c r="BH13" s="30"/>
      <c r="BI13" s="30"/>
      <c r="BJ13" s="30"/>
      <c r="BK13" s="30"/>
      <c r="BL13" s="30"/>
      <c r="BM13" s="30"/>
      <c r="BN13" s="30"/>
      <c r="BO13" s="30"/>
      <c r="BP13" s="30"/>
      <c r="BQ13" s="30"/>
      <c r="BR13" s="30"/>
      <c r="BS13" s="30"/>
      <c r="BT13" s="30"/>
      <c r="BU13" s="30"/>
      <c r="BV13" s="30"/>
      <c r="BW13" s="30"/>
      <c r="BX13" s="30"/>
      <c r="BY13" s="30"/>
      <c r="BZ13" s="30"/>
      <c r="CA13" s="30"/>
      <c r="CB13" s="30"/>
      <c r="CC13" s="30"/>
      <c r="CD13" s="30"/>
      <c r="CE13" s="30"/>
      <c r="CF13" s="30"/>
      <c r="CG13" s="30"/>
      <c r="CH13" s="30"/>
      <c r="CI13" s="30"/>
      <c r="CJ13" s="30"/>
      <c r="CK13" s="30"/>
      <c r="CL13" s="30"/>
      <c r="CM13" s="30"/>
      <c r="CN13" s="30"/>
      <c r="CO13" s="30"/>
      <c r="CP13" s="30"/>
      <c r="CQ13" s="30"/>
      <c r="CR13" s="30"/>
      <c r="CS13" s="30"/>
      <c r="CT13" s="30"/>
      <c r="CU13" s="30"/>
      <c r="CV13" s="30"/>
      <c r="CW13" s="30"/>
      <c r="CX13" s="30"/>
      <c r="CY13" s="30"/>
      <c r="CZ13" s="30"/>
      <c r="DA13" s="30"/>
      <c r="DB13" s="30"/>
      <c r="DC13" s="30"/>
      <c r="DD13" s="30"/>
      <c r="DE13" s="30"/>
      <c r="DF13" s="30"/>
      <c r="DG13" s="30"/>
      <c r="DH13" s="30"/>
      <c r="DI13" s="30"/>
      <c r="DJ13" s="30"/>
      <c r="DK13" s="30"/>
      <c r="DL13" s="30"/>
      <c r="DM13" s="30"/>
      <c r="DN13" s="30"/>
      <c r="DO13" s="30"/>
      <c r="DP13" s="30"/>
      <c r="DQ13" s="30"/>
      <c r="DR13" s="30"/>
      <c r="DS13" s="30"/>
      <c r="DT13" s="30"/>
      <c r="DU13" s="30"/>
      <c r="DV13" s="30"/>
      <c r="DW13" s="30"/>
      <c r="DX13" s="30"/>
      <c r="DY13" s="30"/>
      <c r="DZ13" s="30"/>
      <c r="EA13" s="30"/>
      <c r="EB13" s="30"/>
      <c r="EC13" s="30"/>
      <c r="ED13" s="30"/>
      <c r="EE13" s="30"/>
      <c r="EF13" s="30"/>
      <c r="EG13" s="30"/>
      <c r="EH13" s="30"/>
      <c r="EI13" s="30"/>
      <c r="EJ13" s="30"/>
      <c r="EK13" s="30"/>
      <c r="EL13" s="30"/>
      <c r="EM13" s="30"/>
      <c r="EN13" s="30"/>
      <c r="EO13" s="30"/>
      <c r="EP13" s="30"/>
      <c r="EQ13" s="30"/>
      <c r="ER13" s="30"/>
      <c r="ES13" s="30"/>
      <c r="ET13" s="30"/>
      <c r="EU13" s="30"/>
      <c r="EV13" s="30"/>
      <c r="EW13" s="30"/>
      <c r="EX13" s="30"/>
      <c r="EY13" s="30"/>
      <c r="EZ13" s="30"/>
      <c r="FA13" s="30"/>
      <c r="FB13" s="30"/>
      <c r="FC13" s="30"/>
      <c r="FD13" s="30"/>
      <c r="FE13" s="30"/>
      <c r="FF13" s="30"/>
      <c r="FG13" s="30"/>
      <c r="FH13" s="30"/>
      <c r="FI13" s="30"/>
      <c r="FJ13" s="30"/>
      <c r="FK13" s="30"/>
      <c r="FL13" s="30"/>
      <c r="FM13" s="30"/>
      <c r="FN13" s="30"/>
      <c r="FO13" s="30"/>
      <c r="FP13" s="30"/>
      <c r="FQ13" s="30"/>
      <c r="FR13" s="30"/>
      <c r="FS13" s="30"/>
      <c r="FT13" s="30"/>
      <c r="FU13" s="30"/>
      <c r="FV13" s="30"/>
      <c r="FW13" s="30"/>
      <c r="FX13" s="30"/>
      <c r="FY13" s="30"/>
      <c r="FZ13" s="30"/>
      <c r="GA13" s="30"/>
      <c r="GB13" s="30"/>
      <c r="GC13" s="30"/>
      <c r="GD13" s="30"/>
      <c r="GE13" s="30"/>
      <c r="GF13" s="30"/>
      <c r="GG13" s="30"/>
      <c r="GH13" s="30"/>
      <c r="GI13" s="30"/>
      <c r="GJ13" s="30"/>
      <c r="GK13" s="30"/>
      <c r="GL13" s="30"/>
      <c r="GM13" s="30"/>
      <c r="GN13" s="30"/>
      <c r="GO13" s="30"/>
      <c r="GP13" s="30"/>
    </row>
    <row r="14" spans="2:198" ht="13.8" thickBot="1" x14ac:dyDescent="0.3">
      <c r="B14" s="41" t="s">
        <v>155</v>
      </c>
      <c r="C14" s="42"/>
      <c r="D14" s="43"/>
      <c r="E14" s="43"/>
      <c r="F14" s="42"/>
      <c r="G14" s="43"/>
      <c r="H14" s="43"/>
      <c r="I14" s="42"/>
      <c r="J14" s="43"/>
      <c r="K14" s="44"/>
      <c r="L14" s="44"/>
      <c r="M14" s="44"/>
      <c r="N14" s="44"/>
      <c r="O14" s="44"/>
      <c r="P14" s="44"/>
      <c r="Q14" s="44"/>
      <c r="R14" s="44"/>
      <c r="S14" s="44"/>
      <c r="T14" s="45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0"/>
      <c r="AW14" s="30"/>
      <c r="AX14" s="30"/>
      <c r="AY14" s="30"/>
      <c r="AZ14" s="30"/>
      <c r="BA14" s="30"/>
      <c r="BB14" s="30"/>
      <c r="BC14" s="30"/>
      <c r="BD14" s="30"/>
      <c r="BE14" s="30"/>
      <c r="BF14" s="30"/>
      <c r="BG14" s="30"/>
      <c r="BH14" s="30"/>
      <c r="BI14" s="30"/>
      <c r="BJ14" s="30"/>
      <c r="BK14" s="30"/>
      <c r="BL14" s="30"/>
      <c r="BM14" s="30"/>
      <c r="BN14" s="30"/>
      <c r="BO14" s="30"/>
      <c r="BP14" s="30"/>
      <c r="BQ14" s="30"/>
      <c r="BR14" s="30"/>
      <c r="BS14" s="30"/>
      <c r="BT14" s="30"/>
      <c r="BU14" s="30"/>
      <c r="BV14" s="30"/>
      <c r="BW14" s="30"/>
      <c r="BX14" s="30"/>
      <c r="BY14" s="30"/>
      <c r="BZ14" s="30"/>
      <c r="CA14" s="30"/>
      <c r="CB14" s="30"/>
      <c r="CC14" s="30"/>
      <c r="CD14" s="30"/>
      <c r="CE14" s="30"/>
      <c r="CF14" s="30"/>
      <c r="CG14" s="30"/>
      <c r="CH14" s="30"/>
      <c r="CI14" s="30"/>
      <c r="CJ14" s="30"/>
      <c r="CK14" s="30"/>
      <c r="CL14" s="30"/>
      <c r="CM14" s="30"/>
      <c r="CN14" s="30"/>
      <c r="CO14" s="30"/>
      <c r="CP14" s="30"/>
      <c r="CQ14" s="30"/>
      <c r="CR14" s="30"/>
      <c r="CS14" s="30"/>
      <c r="CT14" s="30"/>
      <c r="CU14" s="30"/>
      <c r="CV14" s="30"/>
      <c r="CW14" s="30"/>
      <c r="CX14" s="30"/>
      <c r="CY14" s="30"/>
      <c r="CZ14" s="30"/>
      <c r="DA14" s="30"/>
      <c r="DB14" s="30"/>
      <c r="DC14" s="30"/>
      <c r="DD14" s="30"/>
      <c r="DE14" s="30"/>
      <c r="DF14" s="30"/>
      <c r="DG14" s="30"/>
      <c r="DH14" s="30"/>
      <c r="DI14" s="30"/>
      <c r="DJ14" s="30"/>
      <c r="DK14" s="30"/>
      <c r="DL14" s="30"/>
      <c r="DM14" s="30"/>
      <c r="DN14" s="30"/>
      <c r="DO14" s="30"/>
      <c r="DP14" s="30"/>
      <c r="DQ14" s="30"/>
      <c r="DR14" s="30"/>
      <c r="DS14" s="30"/>
      <c r="DT14" s="30"/>
      <c r="DU14" s="30"/>
      <c r="DV14" s="30"/>
      <c r="DW14" s="30"/>
      <c r="DX14" s="30"/>
      <c r="DY14" s="30"/>
      <c r="DZ14" s="30"/>
      <c r="EA14" s="30"/>
      <c r="EB14" s="30"/>
      <c r="EC14" s="30"/>
      <c r="ED14" s="30"/>
      <c r="EE14" s="30"/>
      <c r="EF14" s="30"/>
      <c r="EG14" s="30"/>
      <c r="EH14" s="30"/>
      <c r="EI14" s="30"/>
      <c r="EJ14" s="30"/>
      <c r="EK14" s="30"/>
      <c r="EL14" s="30"/>
      <c r="EM14" s="30"/>
      <c r="EN14" s="30"/>
      <c r="EO14" s="30"/>
      <c r="EP14" s="30"/>
      <c r="EQ14" s="30"/>
      <c r="ER14" s="30"/>
      <c r="ES14" s="30"/>
      <c r="ET14" s="30"/>
      <c r="EU14" s="30"/>
      <c r="EV14" s="30"/>
      <c r="EW14" s="30"/>
      <c r="EX14" s="30"/>
      <c r="EY14" s="30"/>
      <c r="EZ14" s="30"/>
      <c r="FA14" s="30"/>
      <c r="FB14" s="30"/>
      <c r="FC14" s="30"/>
      <c r="FD14" s="30"/>
      <c r="FE14" s="30"/>
      <c r="FF14" s="30"/>
      <c r="FG14" s="30"/>
      <c r="FH14" s="30"/>
      <c r="FI14" s="30"/>
      <c r="FJ14" s="30"/>
      <c r="FK14" s="30"/>
      <c r="FL14" s="30"/>
      <c r="FM14" s="30"/>
      <c r="FN14" s="30"/>
      <c r="FO14" s="30"/>
      <c r="FP14" s="30"/>
      <c r="FQ14" s="30"/>
      <c r="FR14" s="30"/>
      <c r="FS14" s="30"/>
      <c r="FT14" s="30"/>
      <c r="FU14" s="30"/>
      <c r="FV14" s="30"/>
      <c r="FW14" s="30"/>
      <c r="FX14" s="30"/>
      <c r="FY14" s="30"/>
      <c r="FZ14" s="30"/>
      <c r="GA14" s="30"/>
      <c r="GB14" s="30"/>
      <c r="GC14" s="30"/>
      <c r="GD14" s="30"/>
      <c r="GE14" s="30"/>
      <c r="GF14" s="30"/>
      <c r="GG14" s="30"/>
      <c r="GH14" s="30"/>
      <c r="GI14" s="30"/>
      <c r="GJ14" s="30"/>
      <c r="GK14" s="30"/>
      <c r="GL14" s="30"/>
      <c r="GM14" s="30"/>
      <c r="GN14" s="30"/>
      <c r="GO14" s="30"/>
      <c r="GP14" s="30"/>
    </row>
    <row r="15" spans="2:198" ht="13.5" customHeight="1" thickBot="1" x14ac:dyDescent="0.3">
      <c r="B15" s="127" t="s">
        <v>140</v>
      </c>
      <c r="C15" s="127" t="s">
        <v>141</v>
      </c>
      <c r="D15" s="132" t="s">
        <v>142</v>
      </c>
      <c r="E15" s="133"/>
      <c r="F15" s="134"/>
      <c r="G15" s="127" t="s">
        <v>143</v>
      </c>
      <c r="H15" s="129" t="s">
        <v>118</v>
      </c>
      <c r="I15" s="130"/>
      <c r="J15" s="130"/>
      <c r="K15" s="130"/>
      <c r="L15" s="130"/>
      <c r="M15" s="130"/>
      <c r="N15" s="130"/>
      <c r="O15" s="131"/>
      <c r="P15" s="127" t="s">
        <v>144</v>
      </c>
      <c r="Q15" s="127" t="s">
        <v>145</v>
      </c>
      <c r="R15" s="127" t="s">
        <v>146</v>
      </c>
      <c r="S15" s="127" t="s">
        <v>147</v>
      </c>
      <c r="T15" s="127" t="s">
        <v>137</v>
      </c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0"/>
      <c r="BB15" s="30"/>
      <c r="BC15" s="30"/>
      <c r="BD15" s="30"/>
      <c r="BE15" s="30"/>
      <c r="BF15" s="30"/>
      <c r="BG15" s="30"/>
      <c r="BH15" s="30"/>
      <c r="BI15" s="30"/>
      <c r="BJ15" s="30"/>
      <c r="BK15" s="30"/>
      <c r="BL15" s="30"/>
      <c r="BM15" s="30"/>
      <c r="BN15" s="30"/>
      <c r="BO15" s="30"/>
      <c r="BP15" s="30"/>
      <c r="BQ15" s="30"/>
      <c r="BR15" s="30"/>
      <c r="BS15" s="30"/>
      <c r="BT15" s="30"/>
      <c r="BU15" s="30"/>
      <c r="BV15" s="30"/>
      <c r="BW15" s="30"/>
      <c r="BX15" s="30"/>
      <c r="BY15" s="30"/>
      <c r="BZ15" s="30"/>
      <c r="CA15" s="30"/>
      <c r="CB15" s="30"/>
      <c r="CC15" s="30"/>
      <c r="CD15" s="30"/>
      <c r="CE15" s="30"/>
      <c r="CF15" s="30"/>
      <c r="CG15" s="30"/>
      <c r="CH15" s="30"/>
      <c r="CI15" s="30"/>
      <c r="CJ15" s="30"/>
      <c r="CK15" s="30"/>
      <c r="CL15" s="30"/>
      <c r="CM15" s="30"/>
      <c r="CN15" s="30"/>
      <c r="CO15" s="30"/>
      <c r="CP15" s="30"/>
      <c r="CQ15" s="30"/>
      <c r="CR15" s="30"/>
      <c r="CS15" s="30"/>
      <c r="CT15" s="30"/>
      <c r="CU15" s="30"/>
      <c r="CV15" s="30"/>
      <c r="CW15" s="30"/>
      <c r="CX15" s="30"/>
      <c r="CY15" s="30"/>
      <c r="CZ15" s="30"/>
      <c r="DA15" s="30"/>
      <c r="DB15" s="30"/>
      <c r="DC15" s="30"/>
      <c r="DD15" s="30"/>
      <c r="DE15" s="30"/>
      <c r="DF15" s="30"/>
      <c r="DG15" s="30"/>
      <c r="DH15" s="30"/>
      <c r="DI15" s="30"/>
      <c r="DJ15" s="30"/>
      <c r="DK15" s="30"/>
      <c r="DL15" s="30"/>
      <c r="DM15" s="30"/>
      <c r="DN15" s="30"/>
      <c r="DO15" s="30"/>
      <c r="DP15" s="30"/>
      <c r="DQ15" s="30"/>
      <c r="DR15" s="30"/>
      <c r="DS15" s="30"/>
      <c r="DT15" s="30"/>
      <c r="DU15" s="30"/>
      <c r="DV15" s="30"/>
      <c r="DW15" s="30"/>
      <c r="DX15" s="30"/>
      <c r="DY15" s="30"/>
      <c r="DZ15" s="30"/>
      <c r="EA15" s="30"/>
      <c r="EB15" s="30"/>
      <c r="EC15" s="30"/>
      <c r="ED15" s="30"/>
      <c r="EE15" s="30"/>
      <c r="EF15" s="30"/>
      <c r="EG15" s="30"/>
      <c r="EH15" s="30"/>
      <c r="EI15" s="30"/>
      <c r="EJ15" s="30"/>
      <c r="EK15" s="30"/>
      <c r="EL15" s="30"/>
      <c r="EM15" s="30"/>
      <c r="EN15" s="30"/>
      <c r="EO15" s="30"/>
      <c r="EP15" s="30"/>
      <c r="EQ15" s="30"/>
      <c r="ER15" s="30"/>
      <c r="ES15" s="30"/>
      <c r="ET15" s="30"/>
      <c r="EU15" s="30"/>
      <c r="EV15" s="30"/>
      <c r="EW15" s="30"/>
      <c r="EX15" s="30"/>
      <c r="EY15" s="30"/>
      <c r="EZ15" s="30"/>
      <c r="FA15" s="30"/>
      <c r="FB15" s="30"/>
      <c r="FC15" s="30"/>
      <c r="FD15" s="30"/>
      <c r="FE15" s="30"/>
      <c r="FF15" s="30"/>
      <c r="FG15" s="30"/>
      <c r="FH15" s="30"/>
      <c r="FI15" s="30"/>
      <c r="FJ15" s="30"/>
      <c r="FK15" s="30"/>
      <c r="FL15" s="30"/>
      <c r="FM15" s="30"/>
      <c r="FN15" s="30"/>
      <c r="FO15" s="30"/>
      <c r="FP15" s="30"/>
      <c r="FQ15" s="30"/>
      <c r="FR15" s="30"/>
      <c r="FS15" s="30"/>
      <c r="FT15" s="30"/>
      <c r="FU15" s="30"/>
      <c r="FV15" s="30"/>
      <c r="FW15" s="30"/>
      <c r="FX15" s="30"/>
      <c r="FY15" s="30"/>
      <c r="FZ15" s="30"/>
      <c r="GA15" s="30"/>
      <c r="GB15" s="30"/>
      <c r="GC15" s="30"/>
      <c r="GD15" s="30"/>
      <c r="GE15" s="30"/>
      <c r="GF15" s="30"/>
      <c r="GG15" s="30"/>
      <c r="GH15" s="30"/>
      <c r="GI15" s="30"/>
      <c r="GJ15" s="30"/>
      <c r="GK15" s="30"/>
      <c r="GL15" s="30"/>
      <c r="GM15" s="30"/>
      <c r="GN15" s="30"/>
      <c r="GO15" s="30"/>
      <c r="GP15" s="30"/>
    </row>
    <row r="16" spans="2:198" ht="13.8" thickBot="1" x14ac:dyDescent="0.3">
      <c r="B16" s="128"/>
      <c r="C16" s="128"/>
      <c r="D16" s="9" t="s">
        <v>148</v>
      </c>
      <c r="E16" s="9" t="s">
        <v>149</v>
      </c>
      <c r="F16" s="9" t="s">
        <v>150</v>
      </c>
      <c r="G16" s="128"/>
      <c r="H16" s="129" t="s">
        <v>151</v>
      </c>
      <c r="I16" s="131"/>
      <c r="J16" s="129" t="s">
        <v>136</v>
      </c>
      <c r="K16" s="136"/>
      <c r="L16" s="135" t="s">
        <v>152</v>
      </c>
      <c r="M16" s="136"/>
      <c r="N16" s="129" t="s">
        <v>153</v>
      </c>
      <c r="O16" s="131"/>
      <c r="P16" s="128"/>
      <c r="Q16" s="128"/>
      <c r="R16" s="128"/>
      <c r="S16" s="128"/>
      <c r="T16" s="128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  <c r="AW16" s="30"/>
      <c r="AX16" s="30"/>
      <c r="AY16" s="30"/>
      <c r="AZ16" s="30"/>
      <c r="BA16" s="30"/>
      <c r="BB16" s="30"/>
      <c r="BC16" s="30"/>
      <c r="BD16" s="30"/>
      <c r="BE16" s="30"/>
      <c r="BF16" s="30"/>
      <c r="BG16" s="30"/>
      <c r="BH16" s="30"/>
      <c r="BI16" s="30"/>
      <c r="BJ16" s="30"/>
      <c r="BK16" s="30"/>
      <c r="BL16" s="30"/>
      <c r="BM16" s="30"/>
      <c r="BN16" s="30"/>
      <c r="BO16" s="30"/>
      <c r="BP16" s="30"/>
      <c r="BQ16" s="30"/>
      <c r="BR16" s="30"/>
      <c r="BS16" s="30"/>
      <c r="BT16" s="30"/>
      <c r="BU16" s="30"/>
      <c r="BV16" s="30"/>
      <c r="BW16" s="30"/>
      <c r="BX16" s="30"/>
      <c r="BY16" s="30"/>
      <c r="BZ16" s="30"/>
      <c r="CA16" s="30"/>
      <c r="CB16" s="30"/>
      <c r="CC16" s="30"/>
      <c r="CD16" s="30"/>
      <c r="CE16" s="30"/>
      <c r="CF16" s="30"/>
      <c r="CG16" s="30"/>
      <c r="CH16" s="30"/>
      <c r="CI16" s="30"/>
      <c r="CJ16" s="30"/>
      <c r="CK16" s="30"/>
      <c r="CL16" s="30"/>
      <c r="CM16" s="30"/>
      <c r="CN16" s="30"/>
      <c r="CO16" s="30"/>
      <c r="CP16" s="30"/>
      <c r="CQ16" s="30"/>
      <c r="CR16" s="30"/>
      <c r="CS16" s="30"/>
      <c r="CT16" s="30"/>
      <c r="CU16" s="30"/>
      <c r="CV16" s="30"/>
      <c r="CW16" s="30"/>
      <c r="CX16" s="30"/>
      <c r="CY16" s="30"/>
      <c r="CZ16" s="30"/>
      <c r="DA16" s="30"/>
      <c r="DB16" s="30"/>
      <c r="DC16" s="30"/>
      <c r="DD16" s="30"/>
      <c r="DE16" s="30"/>
      <c r="DF16" s="30"/>
      <c r="DG16" s="30"/>
      <c r="DH16" s="30"/>
      <c r="DI16" s="30"/>
      <c r="DJ16" s="30"/>
      <c r="DK16" s="30"/>
      <c r="DL16" s="30"/>
      <c r="DM16" s="30"/>
      <c r="DN16" s="30"/>
      <c r="DO16" s="30"/>
      <c r="DP16" s="30"/>
      <c r="DQ16" s="30"/>
      <c r="DR16" s="30"/>
      <c r="DS16" s="30"/>
      <c r="DT16" s="30"/>
      <c r="DU16" s="30"/>
      <c r="DV16" s="30"/>
      <c r="DW16" s="30"/>
      <c r="DX16" s="30"/>
      <c r="DY16" s="30"/>
      <c r="DZ16" s="30"/>
      <c r="EA16" s="30"/>
      <c r="EB16" s="30"/>
      <c r="EC16" s="30"/>
      <c r="ED16" s="30"/>
      <c r="EE16" s="30"/>
      <c r="EF16" s="30"/>
      <c r="EG16" s="30"/>
      <c r="EH16" s="30"/>
      <c r="EI16" s="30"/>
      <c r="EJ16" s="30"/>
      <c r="EK16" s="30"/>
      <c r="EL16" s="30"/>
      <c r="EM16" s="30"/>
      <c r="EN16" s="30"/>
      <c r="EO16" s="30"/>
      <c r="EP16" s="30"/>
      <c r="EQ16" s="30"/>
      <c r="ER16" s="30"/>
      <c r="ES16" s="30"/>
      <c r="ET16" s="30"/>
      <c r="EU16" s="30"/>
      <c r="EV16" s="30"/>
      <c r="EW16" s="30"/>
      <c r="EX16" s="30"/>
      <c r="EY16" s="30"/>
      <c r="EZ16" s="30"/>
      <c r="FA16" s="30"/>
      <c r="FB16" s="30"/>
      <c r="FC16" s="30"/>
      <c r="FD16" s="30"/>
      <c r="FE16" s="30"/>
      <c r="FF16" s="30"/>
      <c r="FG16" s="30"/>
      <c r="FH16" s="30"/>
      <c r="FI16" s="30"/>
      <c r="FJ16" s="30"/>
      <c r="FK16" s="30"/>
      <c r="FL16" s="30"/>
      <c r="FM16" s="30"/>
      <c r="FN16" s="30"/>
      <c r="FO16" s="30"/>
      <c r="FP16" s="30"/>
      <c r="FQ16" s="30"/>
      <c r="FR16" s="30"/>
      <c r="FS16" s="30"/>
      <c r="FT16" s="30"/>
      <c r="FU16" s="30"/>
      <c r="FV16" s="30"/>
      <c r="FW16" s="30"/>
      <c r="FX16" s="30"/>
      <c r="FY16" s="30"/>
      <c r="FZ16" s="30"/>
      <c r="GA16" s="30"/>
      <c r="GB16" s="30"/>
      <c r="GC16" s="30"/>
      <c r="GD16" s="30"/>
      <c r="GE16" s="30"/>
      <c r="GF16" s="30"/>
      <c r="GG16" s="30"/>
      <c r="GH16" s="30"/>
      <c r="GI16" s="30"/>
      <c r="GJ16" s="30"/>
      <c r="GK16" s="30"/>
      <c r="GL16" s="30"/>
      <c r="GM16" s="30"/>
      <c r="GN16" s="30"/>
      <c r="GO16" s="30"/>
      <c r="GP16" s="30"/>
    </row>
    <row r="17" spans="2:198" s="7" customFormat="1" x14ac:dyDescent="0.25">
      <c r="B17" s="22" t="e">
        <f>IF(#REF!=0,"",#REF!)</f>
        <v>#REF!</v>
      </c>
      <c r="C17" s="17" t="e">
        <f>IF(COUNTIF(#REF!,"OK")+COUNTIF(#REF!,"NOK")+COUNTIF(#REF!,"PDTE")+COUNTIF(#REF!,"N/A")=0,"",COUNTIF(#REF!,"OK")+COUNTIF(#REF!,"NOK")+COUNTIF(#REF!,"PDTE")+COUNTIF(#REF!,"N/A"))</f>
        <v>#REF!</v>
      </c>
      <c r="D17" s="10"/>
      <c r="E17" s="10"/>
      <c r="F17" s="10"/>
      <c r="G17" s="17" t="e">
        <f>IF(COUNTIF(#REF!,"N/A")=0,"",COUNTIF(#REF!,"N/A"))</f>
        <v>#REF!</v>
      </c>
      <c r="H17" s="17" t="e">
        <f>IF(COUNTIF(#REF!,"OK")+COUNTIF(#REF!,"NOK")=0,"",COUNTIF(#REF!,"OK")+COUNTIF(#REF!,"NOK"))</f>
        <v>#REF!</v>
      </c>
      <c r="I17" s="5" t="e">
        <f>IF(OR(C17=" ",OR(H17="",H17=0)),"",H17/C17)</f>
        <v>#REF!</v>
      </c>
      <c r="J17" s="23" t="e">
        <f>IF(COUNTIF(#REF!,"OK")=0,"",COUNTIF(#REF!,"OK"))</f>
        <v>#REF!</v>
      </c>
      <c r="K17" s="5" t="e">
        <f>IF(OR(C17=" ",OR(J17="",J17=0)),"",J17/C17)</f>
        <v>#REF!</v>
      </c>
      <c r="L17" s="23" t="e">
        <f>IF(COUNTIF(#REF!,"NOK")=0,"",COUNTIF(#REF!,"NOK"))</f>
        <v>#REF!</v>
      </c>
      <c r="M17" s="5" t="e">
        <f>IF(OR(C17=" ",OR(L17="",L17=0)),"",L17/C17)</f>
        <v>#REF!</v>
      </c>
      <c r="N17" s="23" t="e">
        <f>IF(COUNTIF(#REF!,"PDTE")=0,"",COUNTIF(#REF!,"PDTE"))</f>
        <v>#REF!</v>
      </c>
      <c r="O17" s="5" t="e">
        <f>IF(OR(C17=" ",OR(N17="",N17=0)),"",N17/C17)</f>
        <v>#REF!</v>
      </c>
      <c r="P17" s="5" t="e">
        <f>IF(OR(H17=0,H17=""),"",SUM(J17)/H17)</f>
        <v>#REF!</v>
      </c>
      <c r="Q17" s="5" t="e">
        <f>IF(OR(H17=0,H17=""),"",SUM(D17:F17)/H17)</f>
        <v>#REF!</v>
      </c>
      <c r="R17" s="5" t="e">
        <f>IF(Q17="","",1-Q17)</f>
        <v>#REF!</v>
      </c>
      <c r="S17" s="5" t="e">
        <f>IF(OR(I17="",I17=0),"",I17)</f>
        <v>#REF!</v>
      </c>
      <c r="T17" s="24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39"/>
      <c r="AT17" s="39"/>
      <c r="AU17" s="39"/>
      <c r="AV17" s="39"/>
      <c r="AW17" s="39"/>
      <c r="AX17" s="39"/>
      <c r="AY17" s="39"/>
      <c r="AZ17" s="39"/>
      <c r="BA17" s="39"/>
      <c r="BB17" s="39"/>
      <c r="BC17" s="39"/>
      <c r="BD17" s="39"/>
      <c r="BE17" s="39"/>
      <c r="BF17" s="39"/>
      <c r="BG17" s="39"/>
      <c r="BH17" s="39"/>
      <c r="BI17" s="39"/>
      <c r="BJ17" s="39"/>
      <c r="BK17" s="39"/>
      <c r="BL17" s="39"/>
      <c r="BM17" s="39"/>
      <c r="BN17" s="39"/>
      <c r="BO17" s="39"/>
      <c r="BP17" s="39"/>
      <c r="BQ17" s="39"/>
      <c r="BR17" s="39"/>
      <c r="BS17" s="39"/>
      <c r="BT17" s="39"/>
      <c r="BU17" s="39"/>
      <c r="BV17" s="39"/>
      <c r="BW17" s="39"/>
      <c r="BX17" s="39"/>
      <c r="BY17" s="39"/>
      <c r="BZ17" s="39"/>
      <c r="CA17" s="39"/>
      <c r="CB17" s="39"/>
      <c r="CC17" s="39"/>
      <c r="CD17" s="39"/>
      <c r="CE17" s="39"/>
      <c r="CF17" s="39"/>
      <c r="CG17" s="39"/>
      <c r="CH17" s="39"/>
      <c r="CI17" s="39"/>
      <c r="CJ17" s="39"/>
      <c r="CK17" s="39"/>
      <c r="CL17" s="39"/>
      <c r="CM17" s="39"/>
      <c r="CN17" s="39"/>
      <c r="CO17" s="39"/>
      <c r="CP17" s="39"/>
      <c r="CQ17" s="39"/>
      <c r="CR17" s="39"/>
      <c r="CS17" s="39"/>
      <c r="CT17" s="39"/>
      <c r="CU17" s="39"/>
      <c r="CV17" s="39"/>
      <c r="CW17" s="39"/>
      <c r="CX17" s="39"/>
      <c r="CY17" s="39"/>
      <c r="CZ17" s="39"/>
      <c r="DA17" s="39"/>
      <c r="DB17" s="39"/>
      <c r="DC17" s="39"/>
      <c r="DD17" s="39"/>
      <c r="DE17" s="39"/>
      <c r="DF17" s="39"/>
      <c r="DG17" s="39"/>
      <c r="DH17" s="39"/>
      <c r="DI17" s="39"/>
      <c r="DJ17" s="39"/>
      <c r="DK17" s="39"/>
      <c r="DL17" s="39"/>
      <c r="DM17" s="39"/>
      <c r="DN17" s="39"/>
      <c r="DO17" s="39"/>
      <c r="DP17" s="39"/>
      <c r="DQ17" s="39"/>
      <c r="DR17" s="39"/>
      <c r="DS17" s="39"/>
      <c r="DT17" s="39"/>
      <c r="DU17" s="39"/>
      <c r="DV17" s="39"/>
      <c r="DW17" s="39"/>
      <c r="DX17" s="39"/>
      <c r="DY17" s="39"/>
      <c r="DZ17" s="39"/>
      <c r="EA17" s="39"/>
      <c r="EB17" s="39"/>
      <c r="EC17" s="39"/>
      <c r="ED17" s="39"/>
      <c r="EE17" s="39"/>
      <c r="EF17" s="39"/>
      <c r="EG17" s="39"/>
      <c r="EH17" s="39"/>
      <c r="EI17" s="39"/>
      <c r="EJ17" s="39"/>
      <c r="EK17" s="39"/>
      <c r="EL17" s="39"/>
      <c r="EM17" s="39"/>
      <c r="EN17" s="39"/>
      <c r="EO17" s="39"/>
      <c r="EP17" s="39"/>
      <c r="EQ17" s="39"/>
      <c r="ER17" s="39"/>
      <c r="ES17" s="39"/>
      <c r="ET17" s="39"/>
      <c r="EU17" s="39"/>
      <c r="EV17" s="39"/>
      <c r="EW17" s="39"/>
      <c r="EX17" s="39"/>
      <c r="EY17" s="39"/>
      <c r="EZ17" s="39"/>
      <c r="FA17" s="39"/>
      <c r="FB17" s="39"/>
      <c r="FC17" s="39"/>
      <c r="FD17" s="39"/>
      <c r="FE17" s="39"/>
      <c r="FF17" s="39"/>
      <c r="FG17" s="39"/>
      <c r="FH17" s="39"/>
      <c r="FI17" s="39"/>
      <c r="FJ17" s="39"/>
      <c r="FK17" s="39"/>
      <c r="FL17" s="39"/>
      <c r="FM17" s="39"/>
      <c r="FN17" s="39"/>
      <c r="FO17" s="39"/>
      <c r="FP17" s="39"/>
      <c r="FQ17" s="39"/>
      <c r="FR17" s="39"/>
      <c r="FS17" s="39"/>
      <c r="FT17" s="39"/>
      <c r="FU17" s="39"/>
      <c r="FV17" s="39"/>
      <c r="FW17" s="39"/>
      <c r="FX17" s="39"/>
      <c r="FY17" s="39"/>
      <c r="FZ17" s="39"/>
      <c r="GA17" s="39"/>
      <c r="GB17" s="39"/>
      <c r="GC17" s="39"/>
      <c r="GD17" s="39"/>
      <c r="GE17" s="39"/>
      <c r="GF17" s="39"/>
      <c r="GG17" s="39"/>
      <c r="GH17" s="39"/>
      <c r="GI17" s="39"/>
      <c r="GJ17" s="39"/>
      <c r="GK17" s="39"/>
      <c r="GL17" s="39"/>
      <c r="GM17" s="39"/>
      <c r="GN17" s="39"/>
      <c r="GO17" s="39"/>
      <c r="GP17" s="39"/>
    </row>
    <row r="18" spans="2:198" s="7" customFormat="1" x14ac:dyDescent="0.25">
      <c r="B18" s="2"/>
      <c r="C18" s="4"/>
      <c r="D18" s="4"/>
      <c r="E18" s="4"/>
      <c r="F18" s="4"/>
      <c r="G18" s="4"/>
      <c r="H18" s="4"/>
      <c r="I18" s="5" t="str">
        <f>IF(OR(C18=" ",OR(H18="",H18=0)),"",H18/C18)</f>
        <v/>
      </c>
      <c r="J18" s="12"/>
      <c r="K18" s="5" t="str">
        <f>IF(OR(C18=" ",OR(J18="",J18=0)),"",J18/C18)</f>
        <v/>
      </c>
      <c r="L18" s="12"/>
      <c r="M18" s="5" t="str">
        <f>IF(OR(C18=" ",OR(L18="",L18=0)),"",L18/C18)</f>
        <v/>
      </c>
      <c r="N18" s="11"/>
      <c r="O18" s="6" t="str">
        <f>IF(OR(C18=" ",OR(N18="",N18=0)),"",N18/C18)</f>
        <v/>
      </c>
      <c r="P18" s="6" t="str">
        <f>IF(OR(H18=0,H18=""),"",J18/H18)</f>
        <v/>
      </c>
      <c r="Q18" s="6" t="str">
        <f>IF(OR(H18=0,H18=""),"",SUM(D18:E18)/H18)</f>
        <v/>
      </c>
      <c r="R18" s="6" t="str">
        <f>IF(Q18="","",1-Q18)</f>
        <v/>
      </c>
      <c r="S18" s="6" t="str">
        <f>IF(OR(I18="",I18=0),"",I18)</f>
        <v/>
      </c>
      <c r="T18" s="13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39"/>
      <c r="AS18" s="39"/>
      <c r="AT18" s="39"/>
      <c r="AU18" s="39"/>
      <c r="AV18" s="39"/>
      <c r="AW18" s="39"/>
      <c r="AX18" s="39"/>
      <c r="AY18" s="39"/>
      <c r="AZ18" s="39"/>
      <c r="BA18" s="39"/>
      <c r="BB18" s="39"/>
      <c r="BC18" s="39"/>
      <c r="BD18" s="39"/>
      <c r="BE18" s="39"/>
      <c r="BF18" s="39"/>
      <c r="BG18" s="39"/>
      <c r="BH18" s="39"/>
      <c r="BI18" s="39"/>
      <c r="BJ18" s="39"/>
      <c r="BK18" s="39"/>
      <c r="BL18" s="39"/>
      <c r="BM18" s="39"/>
      <c r="BN18" s="39"/>
      <c r="BO18" s="39"/>
      <c r="BP18" s="39"/>
      <c r="BQ18" s="39"/>
      <c r="BR18" s="39"/>
      <c r="BS18" s="39"/>
      <c r="BT18" s="39"/>
      <c r="BU18" s="39"/>
      <c r="BV18" s="39"/>
      <c r="BW18" s="39"/>
      <c r="BX18" s="39"/>
      <c r="BY18" s="39"/>
      <c r="BZ18" s="39"/>
      <c r="CA18" s="39"/>
      <c r="CB18" s="39"/>
      <c r="CC18" s="39"/>
      <c r="CD18" s="39"/>
      <c r="CE18" s="39"/>
      <c r="CF18" s="39"/>
      <c r="CG18" s="39"/>
      <c r="CH18" s="39"/>
      <c r="CI18" s="39"/>
      <c r="CJ18" s="39"/>
      <c r="CK18" s="39"/>
      <c r="CL18" s="39"/>
      <c r="CM18" s="39"/>
      <c r="CN18" s="39"/>
      <c r="CO18" s="39"/>
      <c r="CP18" s="39"/>
      <c r="CQ18" s="39"/>
      <c r="CR18" s="39"/>
      <c r="CS18" s="39"/>
      <c r="CT18" s="39"/>
      <c r="CU18" s="39"/>
      <c r="CV18" s="39"/>
      <c r="CW18" s="39"/>
      <c r="CX18" s="39"/>
      <c r="CY18" s="39"/>
      <c r="CZ18" s="39"/>
      <c r="DA18" s="39"/>
      <c r="DB18" s="39"/>
      <c r="DC18" s="39"/>
      <c r="DD18" s="39"/>
      <c r="DE18" s="39"/>
      <c r="DF18" s="39"/>
      <c r="DG18" s="39"/>
      <c r="DH18" s="39"/>
      <c r="DI18" s="39"/>
      <c r="DJ18" s="39"/>
      <c r="DK18" s="39"/>
      <c r="DL18" s="39"/>
      <c r="DM18" s="39"/>
      <c r="DN18" s="39"/>
      <c r="DO18" s="39"/>
      <c r="DP18" s="39"/>
      <c r="DQ18" s="39"/>
      <c r="DR18" s="39"/>
      <c r="DS18" s="39"/>
      <c r="DT18" s="39"/>
      <c r="DU18" s="39"/>
      <c r="DV18" s="39"/>
      <c r="DW18" s="39"/>
      <c r="DX18" s="39"/>
      <c r="DY18" s="39"/>
      <c r="DZ18" s="39"/>
      <c r="EA18" s="39"/>
      <c r="EB18" s="39"/>
      <c r="EC18" s="39"/>
      <c r="ED18" s="39"/>
      <c r="EE18" s="39"/>
      <c r="EF18" s="39"/>
      <c r="EG18" s="39"/>
      <c r="EH18" s="39"/>
      <c r="EI18" s="39"/>
      <c r="EJ18" s="39"/>
      <c r="EK18" s="39"/>
      <c r="EL18" s="39"/>
      <c r="EM18" s="39"/>
      <c r="EN18" s="39"/>
      <c r="EO18" s="39"/>
      <c r="EP18" s="39"/>
      <c r="EQ18" s="39"/>
      <c r="ER18" s="39"/>
      <c r="ES18" s="39"/>
      <c r="ET18" s="39"/>
      <c r="EU18" s="39"/>
      <c r="EV18" s="39"/>
      <c r="EW18" s="39"/>
      <c r="EX18" s="39"/>
      <c r="EY18" s="39"/>
      <c r="EZ18" s="39"/>
      <c r="FA18" s="39"/>
      <c r="FB18" s="39"/>
      <c r="FC18" s="39"/>
      <c r="FD18" s="39"/>
      <c r="FE18" s="39"/>
      <c r="FF18" s="39"/>
      <c r="FG18" s="39"/>
      <c r="FH18" s="39"/>
      <c r="FI18" s="39"/>
      <c r="FJ18" s="39"/>
      <c r="FK18" s="39"/>
      <c r="FL18" s="39"/>
      <c r="FM18" s="39"/>
      <c r="FN18" s="39"/>
      <c r="FO18" s="39"/>
      <c r="FP18" s="39"/>
      <c r="FQ18" s="39"/>
      <c r="FR18" s="39"/>
      <c r="FS18" s="39"/>
      <c r="FT18" s="39"/>
      <c r="FU18" s="39"/>
      <c r="FV18" s="39"/>
      <c r="FW18" s="39"/>
      <c r="FX18" s="39"/>
      <c r="FY18" s="39"/>
      <c r="FZ18" s="39"/>
      <c r="GA18" s="39"/>
      <c r="GB18" s="39"/>
      <c r="GC18" s="39"/>
      <c r="GD18" s="39"/>
      <c r="GE18" s="39"/>
      <c r="GF18" s="39"/>
      <c r="GG18" s="39"/>
      <c r="GH18" s="39"/>
      <c r="GI18" s="39"/>
      <c r="GJ18" s="39"/>
      <c r="GK18" s="39"/>
      <c r="GL18" s="39"/>
      <c r="GM18" s="39"/>
      <c r="GN18" s="39"/>
      <c r="GO18" s="39"/>
      <c r="GP18" s="39"/>
    </row>
    <row r="19" spans="2:198" s="7" customFormat="1" x14ac:dyDescent="0.25">
      <c r="B19" s="2"/>
      <c r="C19" s="4"/>
      <c r="D19" s="4"/>
      <c r="E19" s="4"/>
      <c r="F19" s="4"/>
      <c r="G19" s="4"/>
      <c r="H19" s="4"/>
      <c r="I19" s="5" t="str">
        <f>IF(OR(C19=" ",OR(H19="",H19=0)),"",H19/C19)</f>
        <v/>
      </c>
      <c r="J19" s="12"/>
      <c r="K19" s="5" t="str">
        <f>IF(OR(C19=" ",OR(J19="",J19=0)),"",J19/C19)</f>
        <v/>
      </c>
      <c r="L19" s="12"/>
      <c r="M19" s="5" t="str">
        <f>IF(OR(C19=" ",OR(L19="",L19=0)),"",L19/C19)</f>
        <v/>
      </c>
      <c r="N19" s="11"/>
      <c r="O19" s="6" t="str">
        <f>IF(OR(C19=" ",OR(N19="",N19=0)),"",N19/C19)</f>
        <v/>
      </c>
      <c r="P19" s="6" t="str">
        <f>IF(OR(H19=0,H19=""),"",J19/H19)</f>
        <v/>
      </c>
      <c r="Q19" s="6" t="str">
        <f>IF(OR(H19=0,H19=""),"",SUM(D19:E19)/H19)</f>
        <v/>
      </c>
      <c r="R19" s="6" t="str">
        <f>IF(Q19="","",1-Q19)</f>
        <v/>
      </c>
      <c r="S19" s="6" t="str">
        <f>IF(OR(I19="",I19=0),"",I19)</f>
        <v/>
      </c>
      <c r="T19" s="13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9"/>
      <c r="AO19" s="39"/>
      <c r="AP19" s="39"/>
      <c r="AQ19" s="39"/>
      <c r="AR19" s="39"/>
      <c r="AS19" s="39"/>
      <c r="AT19" s="39"/>
      <c r="AU19" s="39"/>
      <c r="AV19" s="39"/>
      <c r="AW19" s="39"/>
      <c r="AX19" s="39"/>
      <c r="AY19" s="39"/>
      <c r="AZ19" s="39"/>
      <c r="BA19" s="39"/>
      <c r="BB19" s="39"/>
      <c r="BC19" s="39"/>
      <c r="BD19" s="39"/>
      <c r="BE19" s="39"/>
      <c r="BF19" s="39"/>
      <c r="BG19" s="39"/>
      <c r="BH19" s="39"/>
      <c r="BI19" s="39"/>
      <c r="BJ19" s="39"/>
      <c r="BK19" s="39"/>
      <c r="BL19" s="39"/>
      <c r="BM19" s="39"/>
      <c r="BN19" s="39"/>
      <c r="BO19" s="39"/>
      <c r="BP19" s="39"/>
      <c r="BQ19" s="39"/>
      <c r="BR19" s="39"/>
      <c r="BS19" s="39"/>
      <c r="BT19" s="39"/>
      <c r="BU19" s="39"/>
      <c r="BV19" s="39"/>
      <c r="BW19" s="39"/>
      <c r="BX19" s="39"/>
      <c r="BY19" s="39"/>
      <c r="BZ19" s="39"/>
      <c r="CA19" s="39"/>
      <c r="CB19" s="39"/>
      <c r="CC19" s="39"/>
      <c r="CD19" s="39"/>
      <c r="CE19" s="39"/>
      <c r="CF19" s="39"/>
      <c r="CG19" s="39"/>
      <c r="CH19" s="39"/>
      <c r="CI19" s="39"/>
      <c r="CJ19" s="39"/>
      <c r="CK19" s="39"/>
      <c r="CL19" s="39"/>
      <c r="CM19" s="39"/>
      <c r="CN19" s="39"/>
      <c r="CO19" s="39"/>
      <c r="CP19" s="39"/>
      <c r="CQ19" s="39"/>
      <c r="CR19" s="39"/>
      <c r="CS19" s="39"/>
      <c r="CT19" s="39"/>
      <c r="CU19" s="39"/>
      <c r="CV19" s="39"/>
      <c r="CW19" s="39"/>
      <c r="CX19" s="39"/>
      <c r="CY19" s="39"/>
      <c r="CZ19" s="39"/>
      <c r="DA19" s="39"/>
      <c r="DB19" s="39"/>
      <c r="DC19" s="39"/>
      <c r="DD19" s="39"/>
      <c r="DE19" s="39"/>
      <c r="DF19" s="39"/>
      <c r="DG19" s="39"/>
      <c r="DH19" s="39"/>
      <c r="DI19" s="39"/>
      <c r="DJ19" s="39"/>
      <c r="DK19" s="39"/>
      <c r="DL19" s="39"/>
      <c r="DM19" s="39"/>
      <c r="DN19" s="39"/>
      <c r="DO19" s="39"/>
      <c r="DP19" s="39"/>
      <c r="DQ19" s="39"/>
      <c r="DR19" s="39"/>
      <c r="DS19" s="39"/>
      <c r="DT19" s="39"/>
      <c r="DU19" s="39"/>
      <c r="DV19" s="39"/>
      <c r="DW19" s="39"/>
      <c r="DX19" s="39"/>
      <c r="DY19" s="39"/>
      <c r="DZ19" s="39"/>
      <c r="EA19" s="39"/>
      <c r="EB19" s="39"/>
      <c r="EC19" s="39"/>
      <c r="ED19" s="39"/>
      <c r="EE19" s="39"/>
      <c r="EF19" s="39"/>
      <c r="EG19" s="39"/>
      <c r="EH19" s="39"/>
      <c r="EI19" s="39"/>
      <c r="EJ19" s="39"/>
      <c r="EK19" s="39"/>
      <c r="EL19" s="39"/>
      <c r="EM19" s="39"/>
      <c r="EN19" s="39"/>
      <c r="EO19" s="39"/>
      <c r="EP19" s="39"/>
      <c r="EQ19" s="39"/>
      <c r="ER19" s="39"/>
      <c r="ES19" s="39"/>
      <c r="ET19" s="39"/>
      <c r="EU19" s="39"/>
      <c r="EV19" s="39"/>
      <c r="EW19" s="39"/>
      <c r="EX19" s="39"/>
      <c r="EY19" s="39"/>
      <c r="EZ19" s="39"/>
      <c r="FA19" s="39"/>
      <c r="FB19" s="39"/>
      <c r="FC19" s="39"/>
      <c r="FD19" s="39"/>
      <c r="FE19" s="39"/>
      <c r="FF19" s="39"/>
      <c r="FG19" s="39"/>
      <c r="FH19" s="39"/>
      <c r="FI19" s="39"/>
      <c r="FJ19" s="39"/>
      <c r="FK19" s="39"/>
      <c r="FL19" s="39"/>
      <c r="FM19" s="39"/>
      <c r="FN19" s="39"/>
      <c r="FO19" s="39"/>
      <c r="FP19" s="39"/>
      <c r="FQ19" s="39"/>
      <c r="FR19" s="39"/>
      <c r="FS19" s="39"/>
      <c r="FT19" s="39"/>
      <c r="FU19" s="39"/>
      <c r="FV19" s="39"/>
      <c r="FW19" s="39"/>
      <c r="FX19" s="39"/>
      <c r="FY19" s="39"/>
      <c r="FZ19" s="39"/>
      <c r="GA19" s="39"/>
      <c r="GB19" s="39"/>
      <c r="GC19" s="39"/>
      <c r="GD19" s="39"/>
      <c r="GE19" s="39"/>
      <c r="GF19" s="39"/>
      <c r="GG19" s="39"/>
      <c r="GH19" s="39"/>
      <c r="GI19" s="39"/>
      <c r="GJ19" s="39"/>
      <c r="GK19" s="39"/>
      <c r="GL19" s="39"/>
      <c r="GM19" s="39"/>
      <c r="GN19" s="39"/>
      <c r="GO19" s="39"/>
      <c r="GP19" s="39"/>
    </row>
    <row r="20" spans="2:198" ht="14.4" thickBot="1" x14ac:dyDescent="0.3">
      <c r="B20" s="14" t="s">
        <v>154</v>
      </c>
      <c r="C20" s="15" t="e">
        <f t="shared" ref="C20:H20" si="1">IF(OR(C17=0,C17=""),"",SUM(C17:C19))</f>
        <v>#REF!</v>
      </c>
      <c r="D20" s="15" t="str">
        <f t="shared" si="1"/>
        <v/>
      </c>
      <c r="E20" s="15" t="str">
        <f t="shared" si="1"/>
        <v/>
      </c>
      <c r="F20" s="15" t="str">
        <f t="shared" si="1"/>
        <v/>
      </c>
      <c r="G20" s="15" t="e">
        <f t="shared" si="1"/>
        <v>#REF!</v>
      </c>
      <c r="H20" s="15" t="e">
        <f t="shared" si="1"/>
        <v>#REF!</v>
      </c>
      <c r="I20" s="1" t="e">
        <f>IF(OR(H20=0,H20=""),"",AVERAGE(I17:I19))</f>
        <v>#REF!</v>
      </c>
      <c r="J20" s="15" t="e">
        <f>IF(OR(J17=0,J17=""),"",SUM(J17:J19))</f>
        <v>#REF!</v>
      </c>
      <c r="K20" s="1" t="e">
        <f>IF(OR(J20=0,J20=""),"",AVERAGE(K17:K19))</f>
        <v>#REF!</v>
      </c>
      <c r="L20" s="15" t="e">
        <f>IF(OR(L17=0,L17=""),"",SUM(L17:L19))</f>
        <v>#REF!</v>
      </c>
      <c r="M20" s="1" t="e">
        <f>IF(OR(L20=0,L20=""),"",AVERAGE(M17:M19))</f>
        <v>#REF!</v>
      </c>
      <c r="N20" s="15" t="e">
        <f>IF(OR(N17=0,N17=""),"",SUM(N17:N19))</f>
        <v>#REF!</v>
      </c>
      <c r="O20" s="1" t="e">
        <f>IF(OR(N20=0,N20=""),"",AVERAGE(O17:O19))</f>
        <v>#REF!</v>
      </c>
      <c r="P20" s="1" t="e">
        <f>IF(OR(P17=""),"",AVERAGE(P17:P19))</f>
        <v>#REF!</v>
      </c>
      <c r="Q20" s="1" t="e">
        <f>IF(OR(Q17=""),"",AVERAGE(Q17:Q19))</f>
        <v>#REF!</v>
      </c>
      <c r="R20" s="1" t="e">
        <f>IF(OR(R17=0,R17=""),"",AVERAGE(R17:R19))</f>
        <v>#REF!</v>
      </c>
      <c r="S20" s="1" t="e">
        <f>IF(OR(S17=0,S17=""),"",AVERAGE(S17:S19))</f>
        <v>#REF!</v>
      </c>
      <c r="T20" s="25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  <c r="BA20" s="30"/>
      <c r="BB20" s="30"/>
      <c r="BC20" s="30"/>
      <c r="BD20" s="30"/>
      <c r="BE20" s="30"/>
      <c r="BF20" s="30"/>
      <c r="BG20" s="30"/>
      <c r="BH20" s="30"/>
      <c r="BI20" s="30"/>
      <c r="BJ20" s="30"/>
      <c r="BK20" s="30"/>
      <c r="BL20" s="30"/>
      <c r="BM20" s="30"/>
      <c r="BN20" s="30"/>
      <c r="BO20" s="30"/>
      <c r="BP20" s="30"/>
      <c r="BQ20" s="30"/>
      <c r="BR20" s="30"/>
      <c r="BS20" s="30"/>
      <c r="BT20" s="30"/>
      <c r="BU20" s="30"/>
      <c r="BV20" s="30"/>
      <c r="BW20" s="30"/>
      <c r="BX20" s="30"/>
      <c r="BY20" s="30"/>
      <c r="BZ20" s="30"/>
      <c r="CA20" s="30"/>
      <c r="CB20" s="30"/>
      <c r="CC20" s="30"/>
      <c r="CD20" s="30"/>
      <c r="CE20" s="30"/>
      <c r="CF20" s="30"/>
      <c r="CG20" s="30"/>
      <c r="CH20" s="30"/>
      <c r="CI20" s="30"/>
      <c r="CJ20" s="30"/>
      <c r="CK20" s="30"/>
      <c r="CL20" s="30"/>
      <c r="CM20" s="30"/>
      <c r="CN20" s="30"/>
      <c r="CO20" s="30"/>
      <c r="CP20" s="30"/>
      <c r="CQ20" s="30"/>
      <c r="CR20" s="30"/>
      <c r="CS20" s="30"/>
      <c r="CT20" s="30"/>
      <c r="CU20" s="30"/>
      <c r="CV20" s="30"/>
      <c r="CW20" s="30"/>
      <c r="CX20" s="30"/>
      <c r="CY20" s="30"/>
      <c r="CZ20" s="30"/>
      <c r="DA20" s="30"/>
      <c r="DB20" s="30"/>
      <c r="DC20" s="30"/>
      <c r="DD20" s="30"/>
      <c r="DE20" s="30"/>
      <c r="DF20" s="30"/>
      <c r="DG20" s="30"/>
      <c r="DH20" s="30"/>
      <c r="DI20" s="30"/>
      <c r="DJ20" s="30"/>
      <c r="DK20" s="30"/>
      <c r="DL20" s="30"/>
      <c r="DM20" s="30"/>
      <c r="DN20" s="30"/>
      <c r="DO20" s="30"/>
      <c r="DP20" s="30"/>
      <c r="DQ20" s="30"/>
      <c r="DR20" s="30"/>
      <c r="DS20" s="30"/>
      <c r="DT20" s="30"/>
      <c r="DU20" s="30"/>
      <c r="DV20" s="30"/>
      <c r="DW20" s="30"/>
      <c r="DX20" s="30"/>
      <c r="DY20" s="30"/>
      <c r="DZ20" s="30"/>
      <c r="EA20" s="30"/>
      <c r="EB20" s="30"/>
      <c r="EC20" s="30"/>
      <c r="ED20" s="30"/>
      <c r="EE20" s="30"/>
      <c r="EF20" s="30"/>
      <c r="EG20" s="30"/>
      <c r="EH20" s="30"/>
      <c r="EI20" s="30"/>
      <c r="EJ20" s="30"/>
      <c r="EK20" s="30"/>
      <c r="EL20" s="30"/>
      <c r="EM20" s="30"/>
      <c r="EN20" s="30"/>
      <c r="EO20" s="30"/>
      <c r="EP20" s="30"/>
      <c r="EQ20" s="30"/>
      <c r="ER20" s="30"/>
      <c r="ES20" s="30"/>
      <c r="ET20" s="30"/>
      <c r="EU20" s="30"/>
      <c r="EV20" s="30"/>
      <c r="EW20" s="30"/>
      <c r="EX20" s="30"/>
      <c r="EY20" s="30"/>
      <c r="EZ20" s="30"/>
      <c r="FA20" s="30"/>
      <c r="FB20" s="30"/>
      <c r="FC20" s="30"/>
      <c r="FD20" s="30"/>
      <c r="FE20" s="30"/>
      <c r="FF20" s="30"/>
      <c r="FG20" s="30"/>
      <c r="FH20" s="30"/>
      <c r="FI20" s="30"/>
      <c r="FJ20" s="30"/>
      <c r="FK20" s="30"/>
      <c r="FL20" s="30"/>
      <c r="FM20" s="30"/>
      <c r="FN20" s="30"/>
      <c r="FO20" s="30"/>
      <c r="FP20" s="30"/>
      <c r="FQ20" s="30"/>
      <c r="FR20" s="30"/>
      <c r="FS20" s="30"/>
      <c r="FT20" s="30"/>
      <c r="FU20" s="30"/>
      <c r="FV20" s="30"/>
      <c r="FW20" s="30"/>
      <c r="FX20" s="30"/>
      <c r="FY20" s="30"/>
      <c r="FZ20" s="30"/>
      <c r="GA20" s="30"/>
      <c r="GB20" s="30"/>
      <c r="GC20" s="30"/>
      <c r="GD20" s="30"/>
      <c r="GE20" s="30"/>
      <c r="GF20" s="30"/>
      <c r="GG20" s="30"/>
      <c r="GH20" s="30"/>
      <c r="GI20" s="30"/>
      <c r="GJ20" s="30"/>
      <c r="GK20" s="30"/>
      <c r="GL20" s="30"/>
      <c r="GM20" s="30"/>
      <c r="GN20" s="30"/>
      <c r="GO20" s="30"/>
      <c r="GP20" s="30"/>
    </row>
    <row r="21" spans="2:198" x14ac:dyDescent="0.25">
      <c r="B21" s="34"/>
      <c r="C21" s="35"/>
      <c r="D21" s="32"/>
      <c r="E21" s="32"/>
      <c r="F21" s="35"/>
      <c r="G21" s="32"/>
      <c r="H21" s="32"/>
      <c r="I21" s="35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3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30"/>
      <c r="BB21" s="30"/>
      <c r="BC21" s="30"/>
      <c r="BD21" s="30"/>
      <c r="BE21" s="30"/>
      <c r="BF21" s="30"/>
      <c r="BG21" s="30"/>
      <c r="BH21" s="30"/>
      <c r="BI21" s="30"/>
      <c r="BJ21" s="30"/>
      <c r="BK21" s="30"/>
      <c r="BL21" s="30"/>
      <c r="BM21" s="30"/>
      <c r="BN21" s="30"/>
      <c r="BO21" s="30"/>
      <c r="BP21" s="30"/>
      <c r="BQ21" s="30"/>
      <c r="BR21" s="30"/>
      <c r="BS21" s="30"/>
      <c r="BT21" s="30"/>
      <c r="BU21" s="30"/>
      <c r="BV21" s="30"/>
      <c r="BW21" s="30"/>
      <c r="BX21" s="30"/>
      <c r="BY21" s="30"/>
      <c r="BZ21" s="30"/>
      <c r="CA21" s="30"/>
      <c r="CB21" s="30"/>
      <c r="CC21" s="30"/>
      <c r="CD21" s="30"/>
      <c r="CE21" s="30"/>
      <c r="CF21" s="30"/>
      <c r="CG21" s="30"/>
      <c r="CH21" s="30"/>
      <c r="CI21" s="30"/>
      <c r="CJ21" s="30"/>
      <c r="CK21" s="30"/>
      <c r="CL21" s="30"/>
      <c r="CM21" s="30"/>
      <c r="CN21" s="30"/>
      <c r="CO21" s="30"/>
      <c r="CP21" s="30"/>
      <c r="CQ21" s="30"/>
      <c r="CR21" s="30"/>
      <c r="CS21" s="30"/>
      <c r="CT21" s="30"/>
      <c r="CU21" s="30"/>
      <c r="CV21" s="30"/>
      <c r="CW21" s="30"/>
      <c r="CX21" s="30"/>
      <c r="CY21" s="30"/>
      <c r="CZ21" s="30"/>
      <c r="DA21" s="30"/>
      <c r="DB21" s="30"/>
      <c r="DC21" s="30"/>
      <c r="DD21" s="30"/>
      <c r="DE21" s="30"/>
      <c r="DF21" s="30"/>
      <c r="DG21" s="30"/>
      <c r="DH21" s="30"/>
      <c r="DI21" s="30"/>
      <c r="DJ21" s="30"/>
      <c r="DK21" s="30"/>
      <c r="DL21" s="30"/>
      <c r="DM21" s="30"/>
      <c r="DN21" s="30"/>
      <c r="DO21" s="30"/>
      <c r="DP21" s="30"/>
      <c r="DQ21" s="30"/>
      <c r="DR21" s="30"/>
      <c r="DS21" s="30"/>
      <c r="DT21" s="30"/>
      <c r="DU21" s="30"/>
      <c r="DV21" s="30"/>
      <c r="DW21" s="30"/>
      <c r="DX21" s="30"/>
      <c r="DY21" s="30"/>
      <c r="DZ21" s="30"/>
      <c r="EA21" s="30"/>
      <c r="EB21" s="30"/>
      <c r="EC21" s="30"/>
      <c r="ED21" s="30"/>
      <c r="EE21" s="30"/>
      <c r="EF21" s="30"/>
      <c r="EG21" s="30"/>
      <c r="EH21" s="30"/>
      <c r="EI21" s="30"/>
      <c r="EJ21" s="30"/>
      <c r="EK21" s="30"/>
      <c r="EL21" s="30"/>
      <c r="EM21" s="30"/>
      <c r="EN21" s="30"/>
      <c r="EO21" s="30"/>
      <c r="EP21" s="30"/>
      <c r="EQ21" s="30"/>
      <c r="ER21" s="30"/>
      <c r="ES21" s="30"/>
      <c r="ET21" s="30"/>
      <c r="EU21" s="30"/>
      <c r="EV21" s="30"/>
      <c r="EW21" s="30"/>
      <c r="EX21" s="30"/>
      <c r="EY21" s="30"/>
      <c r="EZ21" s="30"/>
      <c r="FA21" s="30"/>
      <c r="FB21" s="30"/>
      <c r="FC21" s="30"/>
      <c r="FD21" s="30"/>
      <c r="FE21" s="30"/>
      <c r="FF21" s="30"/>
      <c r="FG21" s="30"/>
      <c r="FH21" s="30"/>
      <c r="FI21" s="30"/>
      <c r="FJ21" s="30"/>
      <c r="FK21" s="30"/>
      <c r="FL21" s="30"/>
      <c r="FM21" s="30"/>
      <c r="FN21" s="30"/>
      <c r="FO21" s="30"/>
      <c r="FP21" s="30"/>
      <c r="FQ21" s="30"/>
      <c r="FR21" s="30"/>
      <c r="FS21" s="30"/>
      <c r="FT21" s="30"/>
      <c r="FU21" s="30"/>
      <c r="FV21" s="30"/>
      <c r="FW21" s="30"/>
      <c r="FX21" s="30"/>
      <c r="FY21" s="30"/>
      <c r="FZ21" s="30"/>
      <c r="GA21" s="30"/>
      <c r="GB21" s="30"/>
      <c r="GC21" s="30"/>
      <c r="GD21" s="30"/>
      <c r="GE21" s="30"/>
      <c r="GF21" s="30"/>
      <c r="GG21" s="30"/>
      <c r="GH21" s="30"/>
      <c r="GI21" s="30"/>
      <c r="GJ21" s="30"/>
      <c r="GK21" s="30"/>
      <c r="GL21" s="30"/>
      <c r="GM21" s="30"/>
      <c r="GN21" s="30"/>
      <c r="GO21" s="30"/>
      <c r="GP21" s="30"/>
    </row>
    <row r="22" spans="2:198" ht="13.8" thickBot="1" x14ac:dyDescent="0.3">
      <c r="B22" s="36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7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30"/>
      <c r="BA22" s="30"/>
      <c r="BB22" s="30"/>
      <c r="BC22" s="30"/>
      <c r="BD22" s="30"/>
      <c r="BE22" s="30"/>
      <c r="BF22" s="30"/>
      <c r="BG22" s="30"/>
      <c r="BH22" s="30"/>
      <c r="BI22" s="30"/>
      <c r="BJ22" s="30"/>
      <c r="BK22" s="30"/>
      <c r="BL22" s="30"/>
      <c r="BM22" s="30"/>
      <c r="BN22" s="30"/>
      <c r="BO22" s="30"/>
      <c r="BP22" s="30"/>
      <c r="BQ22" s="30"/>
      <c r="BR22" s="30"/>
      <c r="BS22" s="30"/>
      <c r="BT22" s="30"/>
      <c r="BU22" s="30"/>
      <c r="BV22" s="30"/>
      <c r="BW22" s="30"/>
      <c r="BX22" s="30"/>
      <c r="BY22" s="30"/>
      <c r="BZ22" s="30"/>
      <c r="CA22" s="30"/>
      <c r="CB22" s="30"/>
      <c r="CC22" s="30"/>
      <c r="CD22" s="30"/>
      <c r="CE22" s="30"/>
      <c r="CF22" s="30"/>
      <c r="CG22" s="30"/>
      <c r="CH22" s="30"/>
      <c r="CI22" s="30"/>
      <c r="CJ22" s="30"/>
      <c r="CK22" s="30"/>
      <c r="CL22" s="30"/>
      <c r="CM22" s="30"/>
      <c r="CN22" s="30"/>
      <c r="CO22" s="30"/>
      <c r="CP22" s="30"/>
      <c r="CQ22" s="30"/>
      <c r="CR22" s="30"/>
      <c r="CS22" s="30"/>
      <c r="CT22" s="30"/>
      <c r="CU22" s="30"/>
      <c r="CV22" s="30"/>
      <c r="CW22" s="30"/>
      <c r="CX22" s="30"/>
      <c r="CY22" s="30"/>
      <c r="CZ22" s="30"/>
      <c r="DA22" s="30"/>
      <c r="DB22" s="30"/>
      <c r="DC22" s="30"/>
      <c r="DD22" s="30"/>
      <c r="DE22" s="30"/>
      <c r="DF22" s="30"/>
      <c r="DG22" s="30"/>
      <c r="DH22" s="30"/>
      <c r="DI22" s="30"/>
      <c r="DJ22" s="30"/>
      <c r="DK22" s="30"/>
      <c r="DL22" s="30"/>
      <c r="DM22" s="30"/>
      <c r="DN22" s="30"/>
      <c r="DO22" s="30"/>
      <c r="DP22" s="30"/>
      <c r="DQ22" s="30"/>
      <c r="DR22" s="30"/>
      <c r="DS22" s="30"/>
      <c r="DT22" s="30"/>
      <c r="DU22" s="30"/>
      <c r="DV22" s="30"/>
      <c r="DW22" s="30"/>
      <c r="DX22" s="30"/>
      <c r="DY22" s="30"/>
      <c r="DZ22" s="30"/>
      <c r="EA22" s="30"/>
      <c r="EB22" s="30"/>
      <c r="EC22" s="30"/>
      <c r="ED22" s="30"/>
      <c r="EE22" s="30"/>
      <c r="EF22" s="30"/>
      <c r="EG22" s="30"/>
      <c r="EH22" s="30"/>
      <c r="EI22" s="30"/>
      <c r="EJ22" s="30"/>
      <c r="EK22" s="30"/>
      <c r="EL22" s="30"/>
      <c r="EM22" s="30"/>
      <c r="EN22" s="30"/>
      <c r="EO22" s="30"/>
      <c r="EP22" s="30"/>
      <c r="EQ22" s="30"/>
      <c r="ER22" s="30"/>
      <c r="ES22" s="30"/>
      <c r="ET22" s="30"/>
      <c r="EU22" s="30"/>
      <c r="EV22" s="30"/>
      <c r="EW22" s="30"/>
      <c r="EX22" s="30"/>
      <c r="EY22" s="30"/>
      <c r="EZ22" s="30"/>
      <c r="FA22" s="30"/>
      <c r="FB22" s="30"/>
      <c r="FC22" s="30"/>
      <c r="FD22" s="30"/>
      <c r="FE22" s="30"/>
      <c r="FF22" s="30"/>
      <c r="FG22" s="30"/>
      <c r="FH22" s="30"/>
      <c r="FI22" s="30"/>
      <c r="FJ22" s="30"/>
      <c r="FK22" s="30"/>
      <c r="FL22" s="30"/>
      <c r="FM22" s="30"/>
      <c r="FN22" s="30"/>
      <c r="FO22" s="30"/>
      <c r="FP22" s="30"/>
      <c r="FQ22" s="30"/>
      <c r="FR22" s="30"/>
      <c r="FS22" s="30"/>
      <c r="FT22" s="30"/>
      <c r="FU22" s="30"/>
      <c r="FV22" s="30"/>
      <c r="FW22" s="30"/>
      <c r="FX22" s="30"/>
      <c r="FY22" s="30"/>
      <c r="FZ22" s="30"/>
      <c r="GA22" s="30"/>
      <c r="GB22" s="30"/>
      <c r="GC22" s="30"/>
      <c r="GD22" s="30"/>
      <c r="GE22" s="30"/>
      <c r="GF22" s="30"/>
      <c r="GG22" s="30"/>
      <c r="GH22" s="30"/>
      <c r="GI22" s="30"/>
      <c r="GJ22" s="30"/>
      <c r="GK22" s="30"/>
      <c r="GL22" s="30"/>
      <c r="GM22" s="30"/>
      <c r="GN22" s="30"/>
      <c r="GO22" s="30"/>
      <c r="GP22" s="30"/>
    </row>
    <row r="23" spans="2:198" ht="13.8" thickBot="1" x14ac:dyDescent="0.3">
      <c r="B23" s="41" t="s">
        <v>156</v>
      </c>
      <c r="C23" s="42"/>
      <c r="D23" s="43"/>
      <c r="E23" s="43"/>
      <c r="F23" s="42"/>
      <c r="G23" s="43"/>
      <c r="H23" s="43"/>
      <c r="I23" s="42"/>
      <c r="J23" s="43"/>
      <c r="K23" s="44"/>
      <c r="L23" s="44"/>
      <c r="M23" s="44"/>
      <c r="N23" s="44"/>
      <c r="O23" s="44"/>
      <c r="P23" s="44"/>
      <c r="Q23" s="44"/>
      <c r="R23" s="44"/>
      <c r="S23" s="44"/>
      <c r="T23" s="45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30"/>
      <c r="BN23" s="30"/>
      <c r="BO23" s="30"/>
      <c r="BP23" s="30"/>
      <c r="BQ23" s="30"/>
      <c r="BR23" s="30"/>
      <c r="BS23" s="30"/>
      <c r="BT23" s="30"/>
      <c r="BU23" s="30"/>
      <c r="BV23" s="30"/>
      <c r="BW23" s="30"/>
      <c r="BX23" s="30"/>
      <c r="BY23" s="30"/>
      <c r="BZ23" s="30"/>
      <c r="CA23" s="30"/>
      <c r="CB23" s="30"/>
      <c r="CC23" s="30"/>
      <c r="CD23" s="30"/>
      <c r="CE23" s="30"/>
      <c r="CF23" s="30"/>
      <c r="CG23" s="30"/>
      <c r="CH23" s="30"/>
      <c r="CI23" s="30"/>
      <c r="CJ23" s="30"/>
      <c r="CK23" s="30"/>
      <c r="CL23" s="30"/>
      <c r="CM23" s="30"/>
      <c r="CN23" s="30"/>
      <c r="CO23" s="30"/>
      <c r="CP23" s="30"/>
      <c r="CQ23" s="30"/>
      <c r="CR23" s="30"/>
      <c r="CS23" s="30"/>
      <c r="CT23" s="30"/>
      <c r="CU23" s="30"/>
      <c r="CV23" s="30"/>
      <c r="CW23" s="30"/>
      <c r="CX23" s="30"/>
      <c r="CY23" s="30"/>
      <c r="CZ23" s="30"/>
      <c r="DA23" s="30"/>
      <c r="DB23" s="30"/>
      <c r="DC23" s="30"/>
      <c r="DD23" s="30"/>
      <c r="DE23" s="30"/>
      <c r="DF23" s="30"/>
      <c r="DG23" s="30"/>
      <c r="DH23" s="30"/>
      <c r="DI23" s="30"/>
      <c r="DJ23" s="30"/>
      <c r="DK23" s="30"/>
      <c r="DL23" s="30"/>
      <c r="DM23" s="30"/>
      <c r="DN23" s="30"/>
      <c r="DO23" s="30"/>
      <c r="DP23" s="30"/>
      <c r="DQ23" s="30"/>
      <c r="DR23" s="30"/>
      <c r="DS23" s="30"/>
      <c r="DT23" s="30"/>
      <c r="DU23" s="30"/>
      <c r="DV23" s="30"/>
      <c r="DW23" s="30"/>
      <c r="DX23" s="30"/>
      <c r="DY23" s="30"/>
      <c r="DZ23" s="30"/>
      <c r="EA23" s="30"/>
      <c r="EB23" s="30"/>
      <c r="EC23" s="30"/>
      <c r="ED23" s="30"/>
      <c r="EE23" s="30"/>
      <c r="EF23" s="30"/>
      <c r="EG23" s="30"/>
      <c r="EH23" s="30"/>
      <c r="EI23" s="30"/>
      <c r="EJ23" s="30"/>
      <c r="EK23" s="30"/>
      <c r="EL23" s="30"/>
      <c r="EM23" s="30"/>
      <c r="EN23" s="30"/>
      <c r="EO23" s="30"/>
      <c r="EP23" s="30"/>
      <c r="EQ23" s="30"/>
      <c r="ER23" s="30"/>
      <c r="ES23" s="30"/>
      <c r="ET23" s="30"/>
      <c r="EU23" s="30"/>
      <c r="EV23" s="30"/>
      <c r="EW23" s="30"/>
      <c r="EX23" s="30"/>
      <c r="EY23" s="30"/>
      <c r="EZ23" s="30"/>
      <c r="FA23" s="30"/>
      <c r="FB23" s="30"/>
      <c r="FC23" s="30"/>
      <c r="FD23" s="30"/>
      <c r="FE23" s="30"/>
      <c r="FF23" s="30"/>
      <c r="FG23" s="30"/>
      <c r="FH23" s="30"/>
      <c r="FI23" s="30"/>
      <c r="FJ23" s="30"/>
      <c r="FK23" s="30"/>
      <c r="FL23" s="30"/>
      <c r="FM23" s="30"/>
      <c r="FN23" s="30"/>
      <c r="FO23" s="30"/>
      <c r="FP23" s="30"/>
      <c r="FQ23" s="30"/>
      <c r="FR23" s="30"/>
      <c r="FS23" s="30"/>
      <c r="FT23" s="30"/>
      <c r="FU23" s="30"/>
      <c r="FV23" s="30"/>
      <c r="FW23" s="30"/>
      <c r="FX23" s="30"/>
      <c r="FY23" s="30"/>
      <c r="FZ23" s="30"/>
      <c r="GA23" s="30"/>
      <c r="GB23" s="30"/>
      <c r="GC23" s="30"/>
      <c r="GD23" s="30"/>
      <c r="GE23" s="30"/>
      <c r="GF23" s="30"/>
      <c r="GG23" s="30"/>
      <c r="GH23" s="30"/>
      <c r="GI23" s="30"/>
      <c r="GJ23" s="30"/>
      <c r="GK23" s="30"/>
      <c r="GL23" s="30"/>
      <c r="GM23" s="30"/>
      <c r="GN23" s="30"/>
      <c r="GO23" s="30"/>
      <c r="GP23" s="30"/>
    </row>
    <row r="24" spans="2:198" ht="13.5" customHeight="1" thickBot="1" x14ac:dyDescent="0.3">
      <c r="B24" s="127" t="s">
        <v>140</v>
      </c>
      <c r="C24" s="127" t="s">
        <v>141</v>
      </c>
      <c r="D24" s="132" t="s">
        <v>142</v>
      </c>
      <c r="E24" s="133"/>
      <c r="F24" s="134"/>
      <c r="G24" s="127" t="s">
        <v>143</v>
      </c>
      <c r="H24" s="129" t="s">
        <v>118</v>
      </c>
      <c r="I24" s="130"/>
      <c r="J24" s="130"/>
      <c r="K24" s="130"/>
      <c r="L24" s="130"/>
      <c r="M24" s="130"/>
      <c r="N24" s="130"/>
      <c r="O24" s="131"/>
      <c r="P24" s="127" t="s">
        <v>144</v>
      </c>
      <c r="Q24" s="127" t="s">
        <v>145</v>
      </c>
      <c r="R24" s="127" t="s">
        <v>146</v>
      </c>
      <c r="S24" s="127" t="s">
        <v>147</v>
      </c>
      <c r="T24" s="127" t="s">
        <v>137</v>
      </c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30"/>
      <c r="BA24" s="30"/>
      <c r="BB24" s="30"/>
      <c r="BC24" s="30"/>
      <c r="BD24" s="30"/>
      <c r="BE24" s="30"/>
      <c r="BF24" s="30"/>
      <c r="BG24" s="30"/>
      <c r="BH24" s="30"/>
      <c r="BI24" s="30"/>
      <c r="BJ24" s="30"/>
      <c r="BK24" s="30"/>
      <c r="BL24" s="30"/>
      <c r="BM24" s="30"/>
      <c r="BN24" s="30"/>
      <c r="BO24" s="30"/>
      <c r="BP24" s="30"/>
      <c r="BQ24" s="30"/>
      <c r="BR24" s="30"/>
      <c r="BS24" s="30"/>
      <c r="BT24" s="30"/>
      <c r="BU24" s="30"/>
      <c r="BV24" s="30"/>
      <c r="BW24" s="30"/>
      <c r="BX24" s="30"/>
      <c r="BY24" s="30"/>
      <c r="BZ24" s="30"/>
      <c r="CA24" s="30"/>
      <c r="CB24" s="30"/>
      <c r="CC24" s="30"/>
      <c r="CD24" s="30"/>
      <c r="CE24" s="30"/>
      <c r="CF24" s="30"/>
      <c r="CG24" s="30"/>
      <c r="CH24" s="30"/>
      <c r="CI24" s="30"/>
      <c r="CJ24" s="30"/>
      <c r="CK24" s="30"/>
      <c r="CL24" s="30"/>
      <c r="CM24" s="30"/>
      <c r="CN24" s="30"/>
      <c r="CO24" s="30"/>
      <c r="CP24" s="30"/>
      <c r="CQ24" s="30"/>
      <c r="CR24" s="30"/>
      <c r="CS24" s="30"/>
      <c r="CT24" s="30"/>
      <c r="CU24" s="30"/>
      <c r="CV24" s="30"/>
      <c r="CW24" s="30"/>
      <c r="CX24" s="30"/>
      <c r="CY24" s="30"/>
      <c r="CZ24" s="30"/>
      <c r="DA24" s="30"/>
      <c r="DB24" s="30"/>
      <c r="DC24" s="30"/>
      <c r="DD24" s="30"/>
      <c r="DE24" s="30"/>
      <c r="DF24" s="30"/>
      <c r="DG24" s="30"/>
      <c r="DH24" s="30"/>
      <c r="DI24" s="30"/>
      <c r="DJ24" s="30"/>
      <c r="DK24" s="30"/>
      <c r="DL24" s="30"/>
      <c r="DM24" s="30"/>
      <c r="DN24" s="30"/>
      <c r="DO24" s="30"/>
      <c r="DP24" s="30"/>
      <c r="DQ24" s="30"/>
      <c r="DR24" s="30"/>
      <c r="DS24" s="30"/>
      <c r="DT24" s="30"/>
      <c r="DU24" s="30"/>
      <c r="DV24" s="30"/>
      <c r="DW24" s="30"/>
      <c r="DX24" s="30"/>
      <c r="DY24" s="30"/>
      <c r="DZ24" s="30"/>
      <c r="EA24" s="30"/>
      <c r="EB24" s="30"/>
      <c r="EC24" s="30"/>
      <c r="ED24" s="30"/>
      <c r="EE24" s="30"/>
      <c r="EF24" s="30"/>
      <c r="EG24" s="30"/>
      <c r="EH24" s="30"/>
      <c r="EI24" s="30"/>
      <c r="EJ24" s="30"/>
      <c r="EK24" s="30"/>
      <c r="EL24" s="30"/>
      <c r="EM24" s="30"/>
      <c r="EN24" s="30"/>
      <c r="EO24" s="30"/>
      <c r="EP24" s="30"/>
      <c r="EQ24" s="30"/>
      <c r="ER24" s="30"/>
      <c r="ES24" s="30"/>
      <c r="ET24" s="30"/>
      <c r="EU24" s="30"/>
      <c r="EV24" s="30"/>
      <c r="EW24" s="30"/>
      <c r="EX24" s="30"/>
      <c r="EY24" s="30"/>
      <c r="EZ24" s="30"/>
      <c r="FA24" s="30"/>
      <c r="FB24" s="30"/>
      <c r="FC24" s="30"/>
      <c r="FD24" s="30"/>
      <c r="FE24" s="30"/>
      <c r="FF24" s="30"/>
      <c r="FG24" s="30"/>
      <c r="FH24" s="30"/>
      <c r="FI24" s="30"/>
      <c r="FJ24" s="30"/>
      <c r="FK24" s="30"/>
      <c r="FL24" s="30"/>
      <c r="FM24" s="30"/>
      <c r="FN24" s="30"/>
      <c r="FO24" s="30"/>
      <c r="FP24" s="30"/>
      <c r="FQ24" s="30"/>
      <c r="FR24" s="30"/>
      <c r="FS24" s="30"/>
      <c r="FT24" s="30"/>
      <c r="FU24" s="30"/>
      <c r="FV24" s="30"/>
      <c r="FW24" s="30"/>
      <c r="FX24" s="30"/>
      <c r="FY24" s="30"/>
      <c r="FZ24" s="30"/>
      <c r="GA24" s="30"/>
      <c r="GB24" s="30"/>
      <c r="GC24" s="30"/>
      <c r="GD24" s="30"/>
      <c r="GE24" s="30"/>
      <c r="GF24" s="30"/>
      <c r="GG24" s="30"/>
      <c r="GH24" s="30"/>
      <c r="GI24" s="30"/>
      <c r="GJ24" s="30"/>
      <c r="GK24" s="30"/>
      <c r="GL24" s="30"/>
      <c r="GM24" s="30"/>
      <c r="GN24" s="30"/>
      <c r="GO24" s="30"/>
      <c r="GP24" s="30"/>
    </row>
    <row r="25" spans="2:198" ht="13.8" thickBot="1" x14ac:dyDescent="0.3">
      <c r="B25" s="128"/>
      <c r="C25" s="128"/>
      <c r="D25" s="9" t="s">
        <v>148</v>
      </c>
      <c r="E25" s="9" t="s">
        <v>149</v>
      </c>
      <c r="F25" s="9" t="s">
        <v>150</v>
      </c>
      <c r="G25" s="128"/>
      <c r="H25" s="129" t="s">
        <v>151</v>
      </c>
      <c r="I25" s="131"/>
      <c r="J25" s="129" t="s">
        <v>136</v>
      </c>
      <c r="K25" s="136"/>
      <c r="L25" s="135" t="s">
        <v>152</v>
      </c>
      <c r="M25" s="136"/>
      <c r="N25" s="129" t="s">
        <v>153</v>
      </c>
      <c r="O25" s="131"/>
      <c r="P25" s="128"/>
      <c r="Q25" s="128"/>
      <c r="R25" s="128"/>
      <c r="S25" s="128"/>
      <c r="T25" s="128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30"/>
      <c r="AW25" s="30"/>
      <c r="AX25" s="30"/>
      <c r="AY25" s="30"/>
      <c r="AZ25" s="30"/>
      <c r="BA25" s="30"/>
      <c r="BB25" s="30"/>
      <c r="BC25" s="30"/>
      <c r="BD25" s="30"/>
      <c r="BE25" s="30"/>
      <c r="BF25" s="30"/>
      <c r="BG25" s="30"/>
      <c r="BH25" s="30"/>
      <c r="BI25" s="30"/>
      <c r="BJ25" s="30"/>
      <c r="BK25" s="30"/>
      <c r="BL25" s="30"/>
      <c r="BM25" s="30"/>
      <c r="BN25" s="30"/>
      <c r="BO25" s="30"/>
      <c r="BP25" s="30"/>
      <c r="BQ25" s="30"/>
      <c r="BR25" s="30"/>
      <c r="BS25" s="30"/>
      <c r="BT25" s="30"/>
      <c r="BU25" s="30"/>
      <c r="BV25" s="30"/>
      <c r="BW25" s="30"/>
      <c r="BX25" s="30"/>
      <c r="BY25" s="30"/>
      <c r="BZ25" s="30"/>
      <c r="CA25" s="30"/>
      <c r="CB25" s="30"/>
      <c r="CC25" s="30"/>
      <c r="CD25" s="30"/>
      <c r="CE25" s="30"/>
      <c r="CF25" s="30"/>
      <c r="CG25" s="30"/>
      <c r="CH25" s="30"/>
      <c r="CI25" s="30"/>
      <c r="CJ25" s="30"/>
      <c r="CK25" s="30"/>
      <c r="CL25" s="30"/>
      <c r="CM25" s="30"/>
      <c r="CN25" s="30"/>
      <c r="CO25" s="30"/>
      <c r="CP25" s="30"/>
      <c r="CQ25" s="30"/>
      <c r="CR25" s="30"/>
      <c r="CS25" s="30"/>
      <c r="CT25" s="30"/>
      <c r="CU25" s="30"/>
      <c r="CV25" s="30"/>
      <c r="CW25" s="30"/>
      <c r="CX25" s="30"/>
      <c r="CY25" s="30"/>
      <c r="CZ25" s="30"/>
      <c r="DA25" s="30"/>
      <c r="DB25" s="30"/>
      <c r="DC25" s="30"/>
      <c r="DD25" s="30"/>
      <c r="DE25" s="30"/>
      <c r="DF25" s="30"/>
      <c r="DG25" s="30"/>
      <c r="DH25" s="30"/>
      <c r="DI25" s="30"/>
      <c r="DJ25" s="30"/>
      <c r="DK25" s="30"/>
      <c r="DL25" s="30"/>
      <c r="DM25" s="30"/>
      <c r="DN25" s="30"/>
      <c r="DO25" s="30"/>
      <c r="DP25" s="30"/>
      <c r="DQ25" s="30"/>
      <c r="DR25" s="30"/>
      <c r="DS25" s="30"/>
      <c r="DT25" s="30"/>
      <c r="DU25" s="30"/>
      <c r="DV25" s="30"/>
      <c r="DW25" s="30"/>
      <c r="DX25" s="30"/>
      <c r="DY25" s="30"/>
      <c r="DZ25" s="30"/>
      <c r="EA25" s="30"/>
      <c r="EB25" s="30"/>
      <c r="EC25" s="30"/>
      <c r="ED25" s="30"/>
      <c r="EE25" s="30"/>
      <c r="EF25" s="30"/>
      <c r="EG25" s="30"/>
      <c r="EH25" s="30"/>
      <c r="EI25" s="30"/>
      <c r="EJ25" s="30"/>
      <c r="EK25" s="30"/>
      <c r="EL25" s="30"/>
      <c r="EM25" s="30"/>
      <c r="EN25" s="30"/>
      <c r="EO25" s="30"/>
      <c r="EP25" s="30"/>
      <c r="EQ25" s="30"/>
      <c r="ER25" s="30"/>
      <c r="ES25" s="30"/>
      <c r="ET25" s="30"/>
      <c r="EU25" s="30"/>
      <c r="EV25" s="30"/>
      <c r="EW25" s="30"/>
      <c r="EX25" s="30"/>
      <c r="EY25" s="30"/>
      <c r="EZ25" s="30"/>
      <c r="FA25" s="30"/>
      <c r="FB25" s="30"/>
      <c r="FC25" s="30"/>
      <c r="FD25" s="30"/>
      <c r="FE25" s="30"/>
      <c r="FF25" s="30"/>
      <c r="FG25" s="30"/>
      <c r="FH25" s="30"/>
      <c r="FI25" s="30"/>
      <c r="FJ25" s="30"/>
      <c r="FK25" s="30"/>
      <c r="FL25" s="30"/>
      <c r="FM25" s="30"/>
      <c r="FN25" s="30"/>
      <c r="FO25" s="30"/>
      <c r="FP25" s="30"/>
      <c r="FQ25" s="30"/>
      <c r="FR25" s="30"/>
      <c r="FS25" s="30"/>
      <c r="FT25" s="30"/>
      <c r="FU25" s="30"/>
      <c r="FV25" s="30"/>
      <c r="FW25" s="30"/>
      <c r="FX25" s="30"/>
      <c r="FY25" s="30"/>
      <c r="FZ25" s="30"/>
      <c r="GA25" s="30"/>
      <c r="GB25" s="30"/>
      <c r="GC25" s="30"/>
      <c r="GD25" s="30"/>
      <c r="GE25" s="30"/>
      <c r="GF25" s="30"/>
      <c r="GG25" s="30"/>
      <c r="GH25" s="30"/>
      <c r="GI25" s="30"/>
      <c r="GJ25" s="30"/>
      <c r="GK25" s="30"/>
      <c r="GL25" s="30"/>
      <c r="GM25" s="30"/>
      <c r="GN25" s="30"/>
      <c r="GO25" s="30"/>
      <c r="GP25" s="30"/>
    </row>
    <row r="26" spans="2:198" s="7" customFormat="1" x14ac:dyDescent="0.25">
      <c r="B26" s="22" t="e">
        <f>IF(#REF!=0,"",#REF!)</f>
        <v>#REF!</v>
      </c>
      <c r="C26" s="17" t="e">
        <f>IF(COUNTIF(#REF!,"OK")+COUNTIF(#REF!,"NOK")+COUNTIF(#REF!,"PDTE")+COUNTIF(#REF!,"N/A")=0,"",COUNTIF(#REF!,"OK")+COUNTIF(#REF!,"NOK")+COUNTIF(#REF!,"PDTE")+COUNTIF(#REF!,"N/A"))</f>
        <v>#REF!</v>
      </c>
      <c r="D26" s="10"/>
      <c r="E26" s="10"/>
      <c r="F26" s="10"/>
      <c r="G26" s="17" t="e">
        <f>IF(COUNTIF(#REF!,"N/A")=0,"",COUNTIF(#REF!,"N/A"))</f>
        <v>#REF!</v>
      </c>
      <c r="H26" s="17" t="e">
        <f>IF(COUNTIF(#REF!,"OK")+COUNTIF(#REF!,"NOK")=0,"",COUNTIF(#REF!,"OK")+COUNTIF(#REF!,"NOK"))</f>
        <v>#REF!</v>
      </c>
      <c r="I26" s="5" t="e">
        <f>IF(OR(C26=" ",OR(H26="",H26=0)),"",H26/C26)</f>
        <v>#REF!</v>
      </c>
      <c r="J26" s="23" t="e">
        <f>IF(COUNTIF(#REF!,"OK")=0,"",COUNTIF(#REF!,"OK"))</f>
        <v>#REF!</v>
      </c>
      <c r="K26" s="5" t="e">
        <f>IF(OR(C26=" ",OR(J26="",J26=0)),"",J26/C26)</f>
        <v>#REF!</v>
      </c>
      <c r="L26" s="23" t="e">
        <f>IF(COUNTIF(#REF!,"NOK")=0,"",COUNTIF(#REF!,"NOK"))</f>
        <v>#REF!</v>
      </c>
      <c r="M26" s="5" t="e">
        <f>IF(OR(C26=" ",OR(L26="",L26=0)),"",L26/C26)</f>
        <v>#REF!</v>
      </c>
      <c r="N26" s="23" t="e">
        <f>IF(COUNTIF(#REF!,"PDTE")=0,"",COUNTIF(#REF!,"PDTE"))</f>
        <v>#REF!</v>
      </c>
      <c r="O26" s="5" t="e">
        <f>IF(OR(C26=" ",OR(N26="",N26=0)),"",N26/C26)</f>
        <v>#REF!</v>
      </c>
      <c r="P26" s="5" t="e">
        <f>IF(OR(H26=0,H26=""),"",SUM(J26)/H26)</f>
        <v>#REF!</v>
      </c>
      <c r="Q26" s="5" t="e">
        <f>IF(OR(H26=0,H26=""),"",SUM(D26:F26)/H26)</f>
        <v>#REF!</v>
      </c>
      <c r="R26" s="5" t="e">
        <f>IF(Q26="","",1-Q26)</f>
        <v>#REF!</v>
      </c>
      <c r="S26" s="5" t="e">
        <f>IF(OR(I26="",I26=0),"",I26)</f>
        <v>#REF!</v>
      </c>
      <c r="T26" s="24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39"/>
      <c r="AN26" s="39"/>
      <c r="AO26" s="39"/>
      <c r="AP26" s="39"/>
      <c r="AQ26" s="39"/>
      <c r="AR26" s="39"/>
      <c r="AS26" s="39"/>
      <c r="AT26" s="39"/>
      <c r="AU26" s="39"/>
      <c r="AV26" s="39"/>
      <c r="AW26" s="39"/>
      <c r="AX26" s="39"/>
      <c r="AY26" s="39"/>
      <c r="AZ26" s="39"/>
      <c r="BA26" s="39"/>
      <c r="BB26" s="39"/>
      <c r="BC26" s="39"/>
      <c r="BD26" s="39"/>
      <c r="BE26" s="39"/>
      <c r="BF26" s="39"/>
      <c r="BG26" s="39"/>
      <c r="BH26" s="39"/>
      <c r="BI26" s="39"/>
      <c r="BJ26" s="39"/>
      <c r="BK26" s="39"/>
      <c r="BL26" s="39"/>
      <c r="BM26" s="39"/>
      <c r="BN26" s="39"/>
      <c r="BO26" s="39"/>
      <c r="BP26" s="39"/>
      <c r="BQ26" s="39"/>
      <c r="BR26" s="39"/>
      <c r="BS26" s="39"/>
      <c r="BT26" s="39"/>
      <c r="BU26" s="39"/>
      <c r="BV26" s="39"/>
      <c r="BW26" s="39"/>
      <c r="BX26" s="39"/>
      <c r="BY26" s="39"/>
      <c r="BZ26" s="39"/>
      <c r="CA26" s="39"/>
      <c r="CB26" s="39"/>
      <c r="CC26" s="39"/>
      <c r="CD26" s="39"/>
      <c r="CE26" s="39"/>
      <c r="CF26" s="39"/>
      <c r="CG26" s="39"/>
      <c r="CH26" s="39"/>
      <c r="CI26" s="39"/>
      <c r="CJ26" s="39"/>
      <c r="CK26" s="39"/>
      <c r="CL26" s="39"/>
      <c r="CM26" s="39"/>
      <c r="CN26" s="39"/>
      <c r="CO26" s="39"/>
      <c r="CP26" s="39"/>
      <c r="CQ26" s="39"/>
      <c r="CR26" s="39"/>
      <c r="CS26" s="39"/>
      <c r="CT26" s="39"/>
      <c r="CU26" s="39"/>
      <c r="CV26" s="39"/>
      <c r="CW26" s="39"/>
      <c r="CX26" s="39"/>
      <c r="CY26" s="39"/>
      <c r="CZ26" s="39"/>
      <c r="DA26" s="39"/>
      <c r="DB26" s="39"/>
      <c r="DC26" s="39"/>
      <c r="DD26" s="39"/>
      <c r="DE26" s="39"/>
      <c r="DF26" s="39"/>
      <c r="DG26" s="39"/>
      <c r="DH26" s="39"/>
      <c r="DI26" s="39"/>
      <c r="DJ26" s="39"/>
      <c r="DK26" s="39"/>
      <c r="DL26" s="39"/>
      <c r="DM26" s="39"/>
      <c r="DN26" s="39"/>
      <c r="DO26" s="39"/>
      <c r="DP26" s="39"/>
      <c r="DQ26" s="39"/>
      <c r="DR26" s="39"/>
      <c r="DS26" s="39"/>
      <c r="DT26" s="39"/>
      <c r="DU26" s="39"/>
      <c r="DV26" s="39"/>
      <c r="DW26" s="39"/>
      <c r="DX26" s="39"/>
      <c r="DY26" s="39"/>
      <c r="DZ26" s="39"/>
      <c r="EA26" s="39"/>
      <c r="EB26" s="39"/>
      <c r="EC26" s="39"/>
      <c r="ED26" s="39"/>
      <c r="EE26" s="39"/>
      <c r="EF26" s="39"/>
      <c r="EG26" s="39"/>
      <c r="EH26" s="39"/>
      <c r="EI26" s="39"/>
      <c r="EJ26" s="39"/>
      <c r="EK26" s="39"/>
      <c r="EL26" s="39"/>
      <c r="EM26" s="39"/>
      <c r="EN26" s="39"/>
      <c r="EO26" s="39"/>
      <c r="EP26" s="39"/>
      <c r="EQ26" s="39"/>
      <c r="ER26" s="39"/>
      <c r="ES26" s="39"/>
      <c r="ET26" s="39"/>
      <c r="EU26" s="39"/>
      <c r="EV26" s="39"/>
      <c r="EW26" s="39"/>
      <c r="EX26" s="39"/>
      <c r="EY26" s="39"/>
      <c r="EZ26" s="39"/>
      <c r="FA26" s="39"/>
      <c r="FB26" s="39"/>
      <c r="FC26" s="39"/>
      <c r="FD26" s="39"/>
      <c r="FE26" s="39"/>
      <c r="FF26" s="39"/>
      <c r="FG26" s="39"/>
      <c r="FH26" s="39"/>
      <c r="FI26" s="39"/>
      <c r="FJ26" s="39"/>
      <c r="FK26" s="39"/>
      <c r="FL26" s="39"/>
      <c r="FM26" s="39"/>
      <c r="FN26" s="39"/>
      <c r="FO26" s="39"/>
      <c r="FP26" s="39"/>
      <c r="FQ26" s="39"/>
      <c r="FR26" s="39"/>
      <c r="FS26" s="39"/>
      <c r="FT26" s="39"/>
      <c r="FU26" s="39"/>
      <c r="FV26" s="39"/>
      <c r="FW26" s="39"/>
      <c r="FX26" s="39"/>
      <c r="FY26" s="39"/>
      <c r="FZ26" s="39"/>
      <c r="GA26" s="39"/>
      <c r="GB26" s="39"/>
      <c r="GC26" s="39"/>
      <c r="GD26" s="39"/>
      <c r="GE26" s="39"/>
      <c r="GF26" s="39"/>
      <c r="GG26" s="39"/>
      <c r="GH26" s="39"/>
      <c r="GI26" s="39"/>
      <c r="GJ26" s="39"/>
      <c r="GK26" s="39"/>
      <c r="GL26" s="39"/>
      <c r="GM26" s="39"/>
      <c r="GN26" s="39"/>
      <c r="GO26" s="39"/>
      <c r="GP26" s="39"/>
    </row>
    <row r="27" spans="2:198" s="7" customFormat="1" x14ac:dyDescent="0.25">
      <c r="B27" s="2"/>
      <c r="C27" s="4"/>
      <c r="D27" s="4"/>
      <c r="E27" s="4"/>
      <c r="F27" s="4"/>
      <c r="G27" s="4"/>
      <c r="H27" s="4"/>
      <c r="I27" s="5" t="str">
        <f>IF(OR(C27=" ",OR(H27="",H27=0)),"",H27/C27)</f>
        <v/>
      </c>
      <c r="J27" s="12"/>
      <c r="K27" s="5" t="str">
        <f>IF(OR(C27=" ",OR(J27="",J27=0)),"",J27/C27)</f>
        <v/>
      </c>
      <c r="L27" s="12"/>
      <c r="M27" s="5" t="str">
        <f>IF(OR(C27=" ",OR(L27="",L27=0)),"",L27/C27)</f>
        <v/>
      </c>
      <c r="N27" s="11"/>
      <c r="O27" s="6" t="str">
        <f>IF(OR(C27=" ",OR(N27="",N27=0)),"",N27/C27)</f>
        <v/>
      </c>
      <c r="P27" s="6" t="str">
        <f>IF(OR(H27=0,H27=""),"",J27/H27)</f>
        <v/>
      </c>
      <c r="Q27" s="6" t="str">
        <f>IF(OR(H27=0,H27=""),"",SUM(D27:E27)/H27)</f>
        <v/>
      </c>
      <c r="R27" s="6" t="str">
        <f>IF(Q27="","",1-Q27)</f>
        <v/>
      </c>
      <c r="S27" s="6" t="str">
        <f>IF(OR(I27="",I27=0),"",I27)</f>
        <v/>
      </c>
      <c r="T27" s="13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39"/>
      <c r="AN27" s="39"/>
      <c r="AO27" s="39"/>
      <c r="AP27" s="39"/>
      <c r="AQ27" s="39"/>
      <c r="AR27" s="39"/>
      <c r="AS27" s="39"/>
      <c r="AT27" s="39"/>
      <c r="AU27" s="39"/>
      <c r="AV27" s="39"/>
      <c r="AW27" s="39"/>
      <c r="AX27" s="39"/>
      <c r="AY27" s="39"/>
      <c r="AZ27" s="39"/>
      <c r="BA27" s="39"/>
      <c r="BB27" s="39"/>
      <c r="BC27" s="39"/>
      <c r="BD27" s="39"/>
      <c r="BE27" s="39"/>
      <c r="BF27" s="39"/>
      <c r="BG27" s="39"/>
      <c r="BH27" s="39"/>
      <c r="BI27" s="39"/>
      <c r="BJ27" s="39"/>
      <c r="BK27" s="39"/>
      <c r="BL27" s="39"/>
      <c r="BM27" s="39"/>
      <c r="BN27" s="39"/>
      <c r="BO27" s="39"/>
      <c r="BP27" s="39"/>
      <c r="BQ27" s="39"/>
      <c r="BR27" s="39"/>
      <c r="BS27" s="39"/>
      <c r="BT27" s="39"/>
      <c r="BU27" s="39"/>
      <c r="BV27" s="39"/>
      <c r="BW27" s="39"/>
      <c r="BX27" s="39"/>
      <c r="BY27" s="39"/>
      <c r="BZ27" s="39"/>
      <c r="CA27" s="39"/>
      <c r="CB27" s="39"/>
      <c r="CC27" s="39"/>
      <c r="CD27" s="39"/>
      <c r="CE27" s="39"/>
      <c r="CF27" s="39"/>
      <c r="CG27" s="39"/>
      <c r="CH27" s="39"/>
      <c r="CI27" s="39"/>
      <c r="CJ27" s="39"/>
      <c r="CK27" s="39"/>
      <c r="CL27" s="39"/>
      <c r="CM27" s="39"/>
      <c r="CN27" s="39"/>
      <c r="CO27" s="39"/>
      <c r="CP27" s="39"/>
      <c r="CQ27" s="39"/>
      <c r="CR27" s="39"/>
      <c r="CS27" s="39"/>
      <c r="CT27" s="39"/>
      <c r="CU27" s="39"/>
      <c r="CV27" s="39"/>
      <c r="CW27" s="39"/>
      <c r="CX27" s="39"/>
      <c r="CY27" s="39"/>
      <c r="CZ27" s="39"/>
      <c r="DA27" s="39"/>
      <c r="DB27" s="39"/>
      <c r="DC27" s="39"/>
      <c r="DD27" s="39"/>
      <c r="DE27" s="39"/>
      <c r="DF27" s="39"/>
      <c r="DG27" s="39"/>
      <c r="DH27" s="39"/>
      <c r="DI27" s="39"/>
      <c r="DJ27" s="39"/>
      <c r="DK27" s="39"/>
      <c r="DL27" s="39"/>
      <c r="DM27" s="39"/>
      <c r="DN27" s="39"/>
      <c r="DO27" s="39"/>
      <c r="DP27" s="39"/>
      <c r="DQ27" s="39"/>
      <c r="DR27" s="39"/>
      <c r="DS27" s="39"/>
      <c r="DT27" s="39"/>
      <c r="DU27" s="39"/>
      <c r="DV27" s="39"/>
      <c r="DW27" s="39"/>
      <c r="DX27" s="39"/>
      <c r="DY27" s="39"/>
      <c r="DZ27" s="39"/>
      <c r="EA27" s="39"/>
      <c r="EB27" s="39"/>
      <c r="EC27" s="39"/>
      <c r="ED27" s="39"/>
      <c r="EE27" s="39"/>
      <c r="EF27" s="39"/>
      <c r="EG27" s="39"/>
      <c r="EH27" s="39"/>
      <c r="EI27" s="39"/>
      <c r="EJ27" s="39"/>
      <c r="EK27" s="39"/>
      <c r="EL27" s="39"/>
      <c r="EM27" s="39"/>
      <c r="EN27" s="39"/>
      <c r="EO27" s="39"/>
      <c r="EP27" s="39"/>
      <c r="EQ27" s="39"/>
      <c r="ER27" s="39"/>
      <c r="ES27" s="39"/>
      <c r="ET27" s="39"/>
      <c r="EU27" s="39"/>
      <c r="EV27" s="39"/>
      <c r="EW27" s="39"/>
      <c r="EX27" s="39"/>
      <c r="EY27" s="39"/>
      <c r="EZ27" s="39"/>
      <c r="FA27" s="39"/>
      <c r="FB27" s="39"/>
      <c r="FC27" s="39"/>
      <c r="FD27" s="39"/>
      <c r="FE27" s="39"/>
      <c r="FF27" s="39"/>
      <c r="FG27" s="39"/>
      <c r="FH27" s="39"/>
      <c r="FI27" s="39"/>
      <c r="FJ27" s="39"/>
      <c r="FK27" s="39"/>
      <c r="FL27" s="39"/>
      <c r="FM27" s="39"/>
      <c r="FN27" s="39"/>
      <c r="FO27" s="39"/>
      <c r="FP27" s="39"/>
      <c r="FQ27" s="39"/>
      <c r="FR27" s="39"/>
      <c r="FS27" s="39"/>
      <c r="FT27" s="39"/>
      <c r="FU27" s="39"/>
      <c r="FV27" s="39"/>
      <c r="FW27" s="39"/>
      <c r="FX27" s="39"/>
      <c r="FY27" s="39"/>
      <c r="FZ27" s="39"/>
      <c r="GA27" s="39"/>
      <c r="GB27" s="39"/>
      <c r="GC27" s="39"/>
      <c r="GD27" s="39"/>
      <c r="GE27" s="39"/>
      <c r="GF27" s="39"/>
      <c r="GG27" s="39"/>
      <c r="GH27" s="39"/>
      <c r="GI27" s="39"/>
      <c r="GJ27" s="39"/>
      <c r="GK27" s="39"/>
      <c r="GL27" s="39"/>
      <c r="GM27" s="39"/>
      <c r="GN27" s="39"/>
      <c r="GO27" s="39"/>
      <c r="GP27" s="39"/>
    </row>
    <row r="28" spans="2:198" s="7" customFormat="1" x14ac:dyDescent="0.25">
      <c r="B28" s="2"/>
      <c r="C28" s="4"/>
      <c r="D28" s="4"/>
      <c r="E28" s="4"/>
      <c r="F28" s="4"/>
      <c r="G28" s="4"/>
      <c r="H28" s="4"/>
      <c r="I28" s="5" t="str">
        <f>IF(OR(C28=" ",OR(H28="",H28=0)),"",H28/C28)</f>
        <v/>
      </c>
      <c r="J28" s="12"/>
      <c r="K28" s="5" t="str">
        <f>IF(OR(C28=" ",OR(J28="",J28=0)),"",J28/C28)</f>
        <v/>
      </c>
      <c r="L28" s="12"/>
      <c r="M28" s="5" t="str">
        <f>IF(OR(C28=" ",OR(L28="",L28=0)),"",L28/C28)</f>
        <v/>
      </c>
      <c r="N28" s="11"/>
      <c r="O28" s="6" t="str">
        <f>IF(OR(C28=" ",OR(N28="",N28=0)),"",N28/C28)</f>
        <v/>
      </c>
      <c r="P28" s="6" t="str">
        <f>IF(OR(H28=0,H28=""),"",J28/H28)</f>
        <v/>
      </c>
      <c r="Q28" s="6" t="str">
        <f>IF(OR(H28=0,H28=""),"",SUM(D28:E28)/H28)</f>
        <v/>
      </c>
      <c r="R28" s="6" t="str">
        <f>IF(Q28="","",1-Q28)</f>
        <v/>
      </c>
      <c r="S28" s="6" t="str">
        <f>IF(OR(I28="",I28=0),"",I28)</f>
        <v/>
      </c>
      <c r="T28" s="13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39"/>
      <c r="AL28" s="39"/>
      <c r="AM28" s="39"/>
      <c r="AN28" s="39"/>
      <c r="AO28" s="39"/>
      <c r="AP28" s="39"/>
      <c r="AQ28" s="39"/>
      <c r="AR28" s="39"/>
      <c r="AS28" s="39"/>
      <c r="AT28" s="39"/>
      <c r="AU28" s="39"/>
      <c r="AV28" s="39"/>
      <c r="AW28" s="39"/>
      <c r="AX28" s="39"/>
      <c r="AY28" s="39"/>
      <c r="AZ28" s="39"/>
      <c r="BA28" s="39"/>
      <c r="BB28" s="39"/>
      <c r="BC28" s="39"/>
      <c r="BD28" s="39"/>
      <c r="BE28" s="39"/>
      <c r="BF28" s="39"/>
      <c r="BG28" s="39"/>
      <c r="BH28" s="39"/>
      <c r="BI28" s="39"/>
      <c r="BJ28" s="39"/>
      <c r="BK28" s="39"/>
      <c r="BL28" s="39"/>
      <c r="BM28" s="39"/>
      <c r="BN28" s="39"/>
      <c r="BO28" s="39"/>
      <c r="BP28" s="39"/>
      <c r="BQ28" s="39"/>
      <c r="BR28" s="39"/>
      <c r="BS28" s="39"/>
      <c r="BT28" s="39"/>
      <c r="BU28" s="39"/>
      <c r="BV28" s="39"/>
      <c r="BW28" s="39"/>
      <c r="BX28" s="39"/>
      <c r="BY28" s="39"/>
      <c r="BZ28" s="39"/>
      <c r="CA28" s="39"/>
      <c r="CB28" s="39"/>
      <c r="CC28" s="39"/>
      <c r="CD28" s="39"/>
      <c r="CE28" s="39"/>
      <c r="CF28" s="39"/>
      <c r="CG28" s="39"/>
      <c r="CH28" s="39"/>
      <c r="CI28" s="39"/>
      <c r="CJ28" s="39"/>
      <c r="CK28" s="39"/>
      <c r="CL28" s="39"/>
      <c r="CM28" s="39"/>
      <c r="CN28" s="39"/>
      <c r="CO28" s="39"/>
      <c r="CP28" s="39"/>
      <c r="CQ28" s="39"/>
      <c r="CR28" s="39"/>
      <c r="CS28" s="39"/>
      <c r="CT28" s="39"/>
      <c r="CU28" s="39"/>
      <c r="CV28" s="39"/>
      <c r="CW28" s="39"/>
      <c r="CX28" s="39"/>
      <c r="CY28" s="39"/>
      <c r="CZ28" s="39"/>
      <c r="DA28" s="39"/>
      <c r="DB28" s="39"/>
      <c r="DC28" s="39"/>
      <c r="DD28" s="39"/>
      <c r="DE28" s="39"/>
      <c r="DF28" s="39"/>
      <c r="DG28" s="39"/>
      <c r="DH28" s="39"/>
      <c r="DI28" s="39"/>
      <c r="DJ28" s="39"/>
      <c r="DK28" s="39"/>
      <c r="DL28" s="39"/>
      <c r="DM28" s="39"/>
      <c r="DN28" s="39"/>
      <c r="DO28" s="39"/>
      <c r="DP28" s="39"/>
      <c r="DQ28" s="39"/>
      <c r="DR28" s="39"/>
      <c r="DS28" s="39"/>
      <c r="DT28" s="39"/>
      <c r="DU28" s="39"/>
      <c r="DV28" s="39"/>
      <c r="DW28" s="39"/>
      <c r="DX28" s="39"/>
      <c r="DY28" s="39"/>
      <c r="DZ28" s="39"/>
      <c r="EA28" s="39"/>
      <c r="EB28" s="39"/>
      <c r="EC28" s="39"/>
      <c r="ED28" s="39"/>
      <c r="EE28" s="39"/>
      <c r="EF28" s="39"/>
      <c r="EG28" s="39"/>
      <c r="EH28" s="39"/>
      <c r="EI28" s="39"/>
      <c r="EJ28" s="39"/>
      <c r="EK28" s="39"/>
      <c r="EL28" s="39"/>
      <c r="EM28" s="39"/>
      <c r="EN28" s="39"/>
      <c r="EO28" s="39"/>
      <c r="EP28" s="39"/>
      <c r="EQ28" s="39"/>
      <c r="ER28" s="39"/>
      <c r="ES28" s="39"/>
      <c r="ET28" s="39"/>
      <c r="EU28" s="39"/>
      <c r="EV28" s="39"/>
      <c r="EW28" s="39"/>
      <c r="EX28" s="39"/>
      <c r="EY28" s="39"/>
      <c r="EZ28" s="39"/>
      <c r="FA28" s="39"/>
      <c r="FB28" s="39"/>
      <c r="FC28" s="39"/>
      <c r="FD28" s="39"/>
      <c r="FE28" s="39"/>
      <c r="FF28" s="39"/>
      <c r="FG28" s="39"/>
      <c r="FH28" s="39"/>
      <c r="FI28" s="39"/>
      <c r="FJ28" s="39"/>
      <c r="FK28" s="39"/>
      <c r="FL28" s="39"/>
      <c r="FM28" s="39"/>
      <c r="FN28" s="39"/>
      <c r="FO28" s="39"/>
      <c r="FP28" s="39"/>
      <c r="FQ28" s="39"/>
      <c r="FR28" s="39"/>
      <c r="FS28" s="39"/>
      <c r="FT28" s="39"/>
      <c r="FU28" s="39"/>
      <c r="FV28" s="39"/>
      <c r="FW28" s="39"/>
      <c r="FX28" s="39"/>
      <c r="FY28" s="39"/>
      <c r="FZ28" s="39"/>
      <c r="GA28" s="39"/>
      <c r="GB28" s="39"/>
      <c r="GC28" s="39"/>
      <c r="GD28" s="39"/>
      <c r="GE28" s="39"/>
      <c r="GF28" s="39"/>
      <c r="GG28" s="39"/>
      <c r="GH28" s="39"/>
      <c r="GI28" s="39"/>
      <c r="GJ28" s="39"/>
      <c r="GK28" s="39"/>
      <c r="GL28" s="39"/>
      <c r="GM28" s="39"/>
      <c r="GN28" s="39"/>
      <c r="GO28" s="39"/>
      <c r="GP28" s="39"/>
    </row>
    <row r="29" spans="2:198" ht="14.4" thickBot="1" x14ac:dyDescent="0.3">
      <c r="B29" s="14" t="s">
        <v>154</v>
      </c>
      <c r="C29" s="15" t="e">
        <f t="shared" ref="C29:H29" si="2">IF(OR(C26=0,C26=""),"",SUM(C26:C28))</f>
        <v>#REF!</v>
      </c>
      <c r="D29" s="15" t="str">
        <f t="shared" si="2"/>
        <v/>
      </c>
      <c r="E29" s="15" t="str">
        <f t="shared" si="2"/>
        <v/>
      </c>
      <c r="F29" s="15" t="str">
        <f t="shared" si="2"/>
        <v/>
      </c>
      <c r="G29" s="15" t="e">
        <f t="shared" si="2"/>
        <v>#REF!</v>
      </c>
      <c r="H29" s="15" t="e">
        <f t="shared" si="2"/>
        <v>#REF!</v>
      </c>
      <c r="I29" s="1" t="e">
        <f>IF(OR(H29=0,H29=""),"",AVERAGE(I26:I28))</f>
        <v>#REF!</v>
      </c>
      <c r="J29" s="15" t="e">
        <f>IF(OR(J26=0,J26=""),"",SUM(J26:J28))</f>
        <v>#REF!</v>
      </c>
      <c r="K29" s="1" t="e">
        <f>IF(OR(J29=0,J29=""),"",AVERAGE(K26:K28))</f>
        <v>#REF!</v>
      </c>
      <c r="L29" s="15" t="e">
        <f>IF(OR(L26=0,L26=""),"",SUM(L26:L28))</f>
        <v>#REF!</v>
      </c>
      <c r="M29" s="1" t="e">
        <f>IF(OR(L29=0,L29=""),"",AVERAGE(M26:M28))</f>
        <v>#REF!</v>
      </c>
      <c r="N29" s="15" t="e">
        <f>IF(OR(N26=0,N26=""),"",SUM(N26:N28))</f>
        <v>#REF!</v>
      </c>
      <c r="O29" s="1" t="e">
        <f>IF(OR(N29=0,N29=""),"",AVERAGE(O26:O28))</f>
        <v>#REF!</v>
      </c>
      <c r="P29" s="1" t="e">
        <f>IF(OR(P26=""),"",AVERAGE(P26:P28))</f>
        <v>#REF!</v>
      </c>
      <c r="Q29" s="1" t="e">
        <f>IF(OR(Q26=""),"",AVERAGE(Q26:Q28))</f>
        <v>#REF!</v>
      </c>
      <c r="R29" s="1" t="e">
        <f>IF(OR(R26=0,R26=""),"",AVERAGE(R26:R28))</f>
        <v>#REF!</v>
      </c>
      <c r="S29" s="1" t="e">
        <f>IF(OR(S26=0,S26=""),"",AVERAGE(S26:S28))</f>
        <v>#REF!</v>
      </c>
      <c r="T29" s="25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30"/>
      <c r="AW29" s="30"/>
      <c r="AX29" s="30"/>
      <c r="AY29" s="30"/>
      <c r="AZ29" s="30"/>
      <c r="BA29" s="30"/>
      <c r="BB29" s="30"/>
      <c r="BC29" s="30"/>
      <c r="BD29" s="30"/>
      <c r="BE29" s="30"/>
      <c r="BF29" s="30"/>
      <c r="BG29" s="30"/>
      <c r="BH29" s="30"/>
      <c r="BI29" s="30"/>
      <c r="BJ29" s="30"/>
      <c r="BK29" s="30"/>
      <c r="BL29" s="30"/>
      <c r="BM29" s="30"/>
      <c r="BN29" s="30"/>
      <c r="BO29" s="30"/>
      <c r="BP29" s="30"/>
      <c r="BQ29" s="30"/>
      <c r="BR29" s="30"/>
      <c r="BS29" s="30"/>
      <c r="BT29" s="30"/>
      <c r="BU29" s="30"/>
      <c r="BV29" s="30"/>
      <c r="BW29" s="30"/>
      <c r="BX29" s="30"/>
      <c r="BY29" s="30"/>
      <c r="BZ29" s="30"/>
      <c r="CA29" s="30"/>
      <c r="CB29" s="30"/>
      <c r="CC29" s="30"/>
      <c r="CD29" s="30"/>
      <c r="CE29" s="30"/>
      <c r="CF29" s="30"/>
      <c r="CG29" s="30"/>
      <c r="CH29" s="30"/>
      <c r="CI29" s="30"/>
      <c r="CJ29" s="30"/>
      <c r="CK29" s="30"/>
      <c r="CL29" s="30"/>
      <c r="CM29" s="30"/>
      <c r="CN29" s="30"/>
      <c r="CO29" s="30"/>
      <c r="CP29" s="30"/>
      <c r="CQ29" s="30"/>
      <c r="CR29" s="30"/>
      <c r="CS29" s="30"/>
      <c r="CT29" s="30"/>
      <c r="CU29" s="30"/>
      <c r="CV29" s="30"/>
      <c r="CW29" s="30"/>
      <c r="CX29" s="30"/>
      <c r="CY29" s="30"/>
      <c r="CZ29" s="30"/>
      <c r="DA29" s="30"/>
      <c r="DB29" s="30"/>
      <c r="DC29" s="30"/>
      <c r="DD29" s="30"/>
      <c r="DE29" s="30"/>
      <c r="DF29" s="30"/>
      <c r="DG29" s="30"/>
      <c r="DH29" s="30"/>
      <c r="DI29" s="30"/>
      <c r="DJ29" s="30"/>
      <c r="DK29" s="30"/>
      <c r="DL29" s="30"/>
      <c r="DM29" s="30"/>
      <c r="DN29" s="30"/>
      <c r="DO29" s="30"/>
      <c r="DP29" s="30"/>
      <c r="DQ29" s="30"/>
      <c r="DR29" s="30"/>
      <c r="DS29" s="30"/>
      <c r="DT29" s="30"/>
      <c r="DU29" s="30"/>
      <c r="DV29" s="30"/>
      <c r="DW29" s="30"/>
      <c r="DX29" s="30"/>
      <c r="DY29" s="30"/>
      <c r="DZ29" s="30"/>
      <c r="EA29" s="30"/>
      <c r="EB29" s="30"/>
      <c r="EC29" s="30"/>
      <c r="ED29" s="30"/>
      <c r="EE29" s="30"/>
      <c r="EF29" s="30"/>
      <c r="EG29" s="30"/>
      <c r="EH29" s="30"/>
      <c r="EI29" s="30"/>
      <c r="EJ29" s="30"/>
      <c r="EK29" s="30"/>
      <c r="EL29" s="30"/>
      <c r="EM29" s="30"/>
      <c r="EN29" s="30"/>
      <c r="EO29" s="30"/>
      <c r="EP29" s="30"/>
      <c r="EQ29" s="30"/>
      <c r="ER29" s="30"/>
      <c r="ES29" s="30"/>
      <c r="ET29" s="30"/>
      <c r="EU29" s="30"/>
      <c r="EV29" s="30"/>
      <c r="EW29" s="30"/>
      <c r="EX29" s="30"/>
      <c r="EY29" s="30"/>
      <c r="EZ29" s="30"/>
      <c r="FA29" s="30"/>
      <c r="FB29" s="30"/>
      <c r="FC29" s="30"/>
      <c r="FD29" s="30"/>
      <c r="FE29" s="30"/>
      <c r="FF29" s="30"/>
      <c r="FG29" s="30"/>
      <c r="FH29" s="30"/>
      <c r="FI29" s="30"/>
      <c r="FJ29" s="30"/>
      <c r="FK29" s="30"/>
      <c r="FL29" s="30"/>
      <c r="FM29" s="30"/>
      <c r="FN29" s="30"/>
      <c r="FO29" s="30"/>
      <c r="FP29" s="30"/>
      <c r="FQ29" s="30"/>
      <c r="FR29" s="30"/>
      <c r="FS29" s="30"/>
      <c r="FT29" s="30"/>
      <c r="FU29" s="30"/>
      <c r="FV29" s="30"/>
      <c r="FW29" s="30"/>
      <c r="FX29" s="30"/>
      <c r="FY29" s="30"/>
      <c r="FZ29" s="30"/>
      <c r="GA29" s="30"/>
      <c r="GB29" s="30"/>
      <c r="GC29" s="30"/>
      <c r="GD29" s="30"/>
      <c r="GE29" s="30"/>
      <c r="GF29" s="30"/>
      <c r="GG29" s="30"/>
      <c r="GH29" s="30"/>
      <c r="GI29" s="30"/>
      <c r="GJ29" s="30"/>
      <c r="GK29" s="30"/>
      <c r="GL29" s="30"/>
      <c r="GM29" s="30"/>
      <c r="GN29" s="30"/>
      <c r="GO29" s="30"/>
      <c r="GP29" s="30"/>
    </row>
    <row r="30" spans="2:198" x14ac:dyDescent="0.25">
      <c r="B30" s="34"/>
      <c r="C30" s="35"/>
      <c r="D30" s="32"/>
      <c r="E30" s="32"/>
      <c r="F30" s="35"/>
      <c r="G30" s="32"/>
      <c r="H30" s="32"/>
      <c r="I30" s="35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3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O30" s="30"/>
      <c r="AP30" s="30"/>
      <c r="AQ30" s="30"/>
      <c r="AR30" s="30"/>
      <c r="AS30" s="30"/>
      <c r="AT30" s="30"/>
      <c r="AU30" s="30"/>
      <c r="AV30" s="30"/>
      <c r="AW30" s="30"/>
      <c r="AX30" s="30"/>
      <c r="AY30" s="30"/>
      <c r="AZ30" s="30"/>
      <c r="BA30" s="30"/>
      <c r="BB30" s="30"/>
      <c r="BC30" s="30"/>
      <c r="BD30" s="30"/>
      <c r="BE30" s="30"/>
      <c r="BF30" s="30"/>
      <c r="BG30" s="30"/>
      <c r="BH30" s="30"/>
      <c r="BI30" s="30"/>
      <c r="BJ30" s="30"/>
      <c r="BK30" s="30"/>
      <c r="BL30" s="30"/>
      <c r="BM30" s="30"/>
      <c r="BN30" s="30"/>
      <c r="BO30" s="30"/>
      <c r="BP30" s="30"/>
      <c r="BQ30" s="30"/>
      <c r="BR30" s="30"/>
      <c r="BS30" s="30"/>
      <c r="BT30" s="30"/>
      <c r="BU30" s="30"/>
      <c r="BV30" s="30"/>
      <c r="BW30" s="30"/>
      <c r="BX30" s="30"/>
      <c r="BY30" s="30"/>
      <c r="BZ30" s="30"/>
      <c r="CA30" s="30"/>
      <c r="CB30" s="30"/>
      <c r="CC30" s="30"/>
      <c r="CD30" s="30"/>
      <c r="CE30" s="30"/>
      <c r="CF30" s="30"/>
      <c r="CG30" s="30"/>
      <c r="CH30" s="30"/>
      <c r="CI30" s="30"/>
      <c r="CJ30" s="30"/>
      <c r="CK30" s="30"/>
      <c r="CL30" s="30"/>
      <c r="CM30" s="30"/>
      <c r="CN30" s="30"/>
      <c r="CO30" s="30"/>
      <c r="CP30" s="30"/>
      <c r="CQ30" s="30"/>
      <c r="CR30" s="30"/>
      <c r="CS30" s="30"/>
      <c r="CT30" s="30"/>
      <c r="CU30" s="30"/>
      <c r="CV30" s="30"/>
      <c r="CW30" s="30"/>
      <c r="CX30" s="30"/>
      <c r="CY30" s="30"/>
      <c r="CZ30" s="30"/>
      <c r="DA30" s="30"/>
      <c r="DB30" s="30"/>
      <c r="DC30" s="30"/>
      <c r="DD30" s="30"/>
      <c r="DE30" s="30"/>
      <c r="DF30" s="30"/>
      <c r="DG30" s="30"/>
      <c r="DH30" s="30"/>
      <c r="DI30" s="30"/>
      <c r="DJ30" s="30"/>
      <c r="DK30" s="30"/>
      <c r="DL30" s="30"/>
      <c r="DM30" s="30"/>
      <c r="DN30" s="30"/>
      <c r="DO30" s="30"/>
      <c r="DP30" s="30"/>
      <c r="DQ30" s="30"/>
      <c r="DR30" s="30"/>
      <c r="DS30" s="30"/>
      <c r="DT30" s="30"/>
      <c r="DU30" s="30"/>
      <c r="DV30" s="30"/>
      <c r="DW30" s="30"/>
      <c r="DX30" s="30"/>
      <c r="DY30" s="30"/>
      <c r="DZ30" s="30"/>
      <c r="EA30" s="30"/>
      <c r="EB30" s="30"/>
      <c r="EC30" s="30"/>
      <c r="ED30" s="30"/>
      <c r="EE30" s="30"/>
      <c r="EF30" s="30"/>
      <c r="EG30" s="30"/>
      <c r="EH30" s="30"/>
      <c r="EI30" s="30"/>
      <c r="EJ30" s="30"/>
      <c r="EK30" s="30"/>
      <c r="EL30" s="30"/>
      <c r="EM30" s="30"/>
      <c r="EN30" s="30"/>
      <c r="EO30" s="30"/>
      <c r="EP30" s="30"/>
      <c r="EQ30" s="30"/>
      <c r="ER30" s="30"/>
      <c r="ES30" s="30"/>
      <c r="ET30" s="30"/>
      <c r="EU30" s="30"/>
      <c r="EV30" s="30"/>
      <c r="EW30" s="30"/>
      <c r="EX30" s="30"/>
      <c r="EY30" s="30"/>
      <c r="EZ30" s="30"/>
      <c r="FA30" s="30"/>
      <c r="FB30" s="30"/>
      <c r="FC30" s="30"/>
      <c r="FD30" s="30"/>
      <c r="FE30" s="30"/>
      <c r="FF30" s="30"/>
      <c r="FG30" s="30"/>
      <c r="FH30" s="30"/>
      <c r="FI30" s="30"/>
      <c r="FJ30" s="30"/>
      <c r="FK30" s="30"/>
      <c r="FL30" s="30"/>
      <c r="FM30" s="30"/>
      <c r="FN30" s="30"/>
      <c r="FO30" s="30"/>
      <c r="FP30" s="30"/>
      <c r="FQ30" s="30"/>
      <c r="FR30" s="30"/>
      <c r="FS30" s="30"/>
      <c r="FT30" s="30"/>
      <c r="FU30" s="30"/>
      <c r="FV30" s="30"/>
      <c r="FW30" s="30"/>
      <c r="FX30" s="30"/>
      <c r="FY30" s="30"/>
      <c r="FZ30" s="30"/>
      <c r="GA30" s="30"/>
      <c r="GB30" s="30"/>
      <c r="GC30" s="30"/>
      <c r="GD30" s="30"/>
      <c r="GE30" s="30"/>
      <c r="GF30" s="30"/>
      <c r="GG30" s="30"/>
      <c r="GH30" s="30"/>
      <c r="GI30" s="30"/>
      <c r="GJ30" s="30"/>
      <c r="GK30" s="30"/>
      <c r="GL30" s="30"/>
      <c r="GM30" s="30"/>
      <c r="GN30" s="30"/>
      <c r="GO30" s="30"/>
      <c r="GP30" s="30"/>
    </row>
    <row r="31" spans="2:198" ht="13.8" thickBot="1" x14ac:dyDescent="0.3">
      <c r="B31" s="36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7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  <c r="AM31" s="30"/>
      <c r="AN31" s="30"/>
      <c r="AO31" s="30"/>
      <c r="AP31" s="30"/>
      <c r="AQ31" s="30"/>
      <c r="AR31" s="30"/>
      <c r="AS31" s="30"/>
      <c r="AT31" s="30"/>
      <c r="AU31" s="30"/>
      <c r="AV31" s="30"/>
      <c r="AW31" s="30"/>
      <c r="AX31" s="30"/>
      <c r="AY31" s="30"/>
      <c r="AZ31" s="30"/>
      <c r="BA31" s="30"/>
      <c r="BB31" s="30"/>
      <c r="BC31" s="30"/>
      <c r="BD31" s="30"/>
      <c r="BE31" s="30"/>
      <c r="BF31" s="30"/>
      <c r="BG31" s="30"/>
      <c r="BH31" s="30"/>
      <c r="BI31" s="30"/>
      <c r="BJ31" s="30"/>
      <c r="BK31" s="30"/>
      <c r="BL31" s="30"/>
      <c r="BM31" s="30"/>
      <c r="BN31" s="30"/>
      <c r="BO31" s="30"/>
      <c r="BP31" s="30"/>
      <c r="BQ31" s="30"/>
      <c r="BR31" s="30"/>
      <c r="BS31" s="30"/>
      <c r="BT31" s="30"/>
      <c r="BU31" s="30"/>
      <c r="BV31" s="30"/>
      <c r="BW31" s="30"/>
      <c r="BX31" s="30"/>
      <c r="BY31" s="30"/>
      <c r="BZ31" s="30"/>
      <c r="CA31" s="30"/>
      <c r="CB31" s="30"/>
      <c r="CC31" s="30"/>
      <c r="CD31" s="30"/>
      <c r="CE31" s="30"/>
      <c r="CF31" s="30"/>
      <c r="CG31" s="30"/>
      <c r="CH31" s="30"/>
      <c r="CI31" s="30"/>
      <c r="CJ31" s="30"/>
      <c r="CK31" s="30"/>
      <c r="CL31" s="30"/>
      <c r="CM31" s="30"/>
      <c r="CN31" s="30"/>
      <c r="CO31" s="30"/>
      <c r="CP31" s="30"/>
      <c r="CQ31" s="30"/>
      <c r="CR31" s="30"/>
      <c r="CS31" s="30"/>
      <c r="CT31" s="30"/>
      <c r="CU31" s="30"/>
      <c r="CV31" s="30"/>
      <c r="CW31" s="30"/>
      <c r="CX31" s="30"/>
      <c r="CY31" s="30"/>
      <c r="CZ31" s="30"/>
      <c r="DA31" s="30"/>
      <c r="DB31" s="30"/>
      <c r="DC31" s="30"/>
      <c r="DD31" s="30"/>
      <c r="DE31" s="30"/>
      <c r="DF31" s="30"/>
      <c r="DG31" s="30"/>
      <c r="DH31" s="30"/>
      <c r="DI31" s="30"/>
      <c r="DJ31" s="30"/>
      <c r="DK31" s="30"/>
      <c r="DL31" s="30"/>
      <c r="DM31" s="30"/>
      <c r="DN31" s="30"/>
      <c r="DO31" s="30"/>
      <c r="DP31" s="30"/>
      <c r="DQ31" s="30"/>
      <c r="DR31" s="30"/>
      <c r="DS31" s="30"/>
      <c r="DT31" s="30"/>
      <c r="DU31" s="30"/>
      <c r="DV31" s="30"/>
      <c r="DW31" s="30"/>
      <c r="DX31" s="30"/>
      <c r="DY31" s="30"/>
      <c r="DZ31" s="30"/>
      <c r="EA31" s="30"/>
      <c r="EB31" s="30"/>
      <c r="EC31" s="30"/>
      <c r="ED31" s="30"/>
      <c r="EE31" s="30"/>
      <c r="EF31" s="30"/>
      <c r="EG31" s="30"/>
      <c r="EH31" s="30"/>
      <c r="EI31" s="30"/>
      <c r="EJ31" s="30"/>
      <c r="EK31" s="30"/>
      <c r="EL31" s="30"/>
      <c r="EM31" s="30"/>
      <c r="EN31" s="30"/>
      <c r="EO31" s="30"/>
      <c r="EP31" s="30"/>
      <c r="EQ31" s="30"/>
      <c r="ER31" s="30"/>
      <c r="ES31" s="30"/>
      <c r="ET31" s="30"/>
      <c r="EU31" s="30"/>
      <c r="EV31" s="30"/>
      <c r="EW31" s="30"/>
      <c r="EX31" s="30"/>
      <c r="EY31" s="30"/>
      <c r="EZ31" s="30"/>
      <c r="FA31" s="30"/>
      <c r="FB31" s="30"/>
      <c r="FC31" s="30"/>
      <c r="FD31" s="30"/>
      <c r="FE31" s="30"/>
      <c r="FF31" s="30"/>
      <c r="FG31" s="30"/>
      <c r="FH31" s="30"/>
      <c r="FI31" s="30"/>
      <c r="FJ31" s="30"/>
      <c r="FK31" s="30"/>
      <c r="FL31" s="30"/>
      <c r="FM31" s="30"/>
      <c r="FN31" s="30"/>
      <c r="FO31" s="30"/>
      <c r="FP31" s="30"/>
      <c r="FQ31" s="30"/>
      <c r="FR31" s="30"/>
      <c r="FS31" s="30"/>
      <c r="FT31" s="30"/>
      <c r="FU31" s="30"/>
      <c r="FV31" s="30"/>
      <c r="FW31" s="30"/>
      <c r="FX31" s="30"/>
      <c r="FY31" s="30"/>
      <c r="FZ31" s="30"/>
      <c r="GA31" s="30"/>
      <c r="GB31" s="30"/>
      <c r="GC31" s="30"/>
      <c r="GD31" s="30"/>
      <c r="GE31" s="30"/>
      <c r="GF31" s="30"/>
      <c r="GG31" s="30"/>
      <c r="GH31" s="30"/>
      <c r="GI31" s="30"/>
      <c r="GJ31" s="30"/>
      <c r="GK31" s="30"/>
      <c r="GL31" s="30"/>
      <c r="GM31" s="30"/>
      <c r="GN31" s="30"/>
      <c r="GO31" s="30"/>
      <c r="GP31" s="30"/>
    </row>
    <row r="32" spans="2:198" ht="13.8" thickBot="1" x14ac:dyDescent="0.3">
      <c r="B32" s="41" t="s">
        <v>157</v>
      </c>
      <c r="C32" s="42"/>
      <c r="D32" s="43"/>
      <c r="E32" s="43"/>
      <c r="F32" s="42"/>
      <c r="G32" s="43"/>
      <c r="H32" s="43"/>
      <c r="I32" s="42"/>
      <c r="J32" s="43"/>
      <c r="K32" s="44"/>
      <c r="L32" s="44"/>
      <c r="M32" s="44"/>
      <c r="N32" s="44"/>
      <c r="O32" s="44"/>
      <c r="P32" s="44"/>
      <c r="Q32" s="44"/>
      <c r="R32" s="44"/>
      <c r="S32" s="44"/>
      <c r="T32" s="45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  <c r="AM32" s="30"/>
      <c r="AN32" s="30"/>
      <c r="AO32" s="30"/>
      <c r="AP32" s="30"/>
      <c r="AQ32" s="30"/>
      <c r="AR32" s="30"/>
      <c r="AS32" s="30"/>
      <c r="AT32" s="30"/>
      <c r="AU32" s="30"/>
      <c r="AV32" s="30"/>
      <c r="AW32" s="30"/>
      <c r="AX32" s="30"/>
      <c r="AY32" s="30"/>
      <c r="AZ32" s="30"/>
      <c r="BA32" s="30"/>
      <c r="BB32" s="30"/>
      <c r="BC32" s="30"/>
      <c r="BD32" s="30"/>
      <c r="BE32" s="30"/>
      <c r="BF32" s="30"/>
      <c r="BG32" s="30"/>
      <c r="BH32" s="30"/>
      <c r="BI32" s="30"/>
      <c r="BJ32" s="30"/>
      <c r="BK32" s="30"/>
      <c r="BL32" s="30"/>
      <c r="BM32" s="30"/>
      <c r="BN32" s="30"/>
      <c r="BO32" s="30"/>
      <c r="BP32" s="30"/>
      <c r="BQ32" s="30"/>
      <c r="BR32" s="30"/>
      <c r="BS32" s="30"/>
      <c r="BT32" s="30"/>
      <c r="BU32" s="30"/>
      <c r="BV32" s="30"/>
      <c r="BW32" s="30"/>
      <c r="BX32" s="30"/>
      <c r="BY32" s="30"/>
      <c r="BZ32" s="30"/>
      <c r="CA32" s="30"/>
      <c r="CB32" s="30"/>
      <c r="CC32" s="30"/>
      <c r="CD32" s="30"/>
      <c r="CE32" s="30"/>
      <c r="CF32" s="30"/>
      <c r="CG32" s="30"/>
      <c r="CH32" s="30"/>
      <c r="CI32" s="30"/>
      <c r="CJ32" s="30"/>
      <c r="CK32" s="30"/>
      <c r="CL32" s="30"/>
      <c r="CM32" s="30"/>
      <c r="CN32" s="30"/>
      <c r="CO32" s="30"/>
      <c r="CP32" s="30"/>
      <c r="CQ32" s="30"/>
      <c r="CR32" s="30"/>
      <c r="CS32" s="30"/>
      <c r="CT32" s="30"/>
      <c r="CU32" s="30"/>
      <c r="CV32" s="30"/>
      <c r="CW32" s="30"/>
      <c r="CX32" s="30"/>
      <c r="CY32" s="30"/>
      <c r="CZ32" s="30"/>
      <c r="DA32" s="30"/>
      <c r="DB32" s="30"/>
      <c r="DC32" s="30"/>
      <c r="DD32" s="30"/>
      <c r="DE32" s="30"/>
      <c r="DF32" s="30"/>
      <c r="DG32" s="30"/>
      <c r="DH32" s="30"/>
      <c r="DI32" s="30"/>
      <c r="DJ32" s="30"/>
      <c r="DK32" s="30"/>
      <c r="DL32" s="30"/>
      <c r="DM32" s="30"/>
      <c r="DN32" s="30"/>
      <c r="DO32" s="30"/>
      <c r="DP32" s="30"/>
      <c r="DQ32" s="30"/>
      <c r="DR32" s="30"/>
      <c r="DS32" s="30"/>
      <c r="DT32" s="30"/>
      <c r="DU32" s="30"/>
      <c r="DV32" s="30"/>
      <c r="DW32" s="30"/>
      <c r="DX32" s="30"/>
      <c r="DY32" s="30"/>
      <c r="DZ32" s="30"/>
      <c r="EA32" s="30"/>
      <c r="EB32" s="30"/>
      <c r="EC32" s="30"/>
      <c r="ED32" s="30"/>
      <c r="EE32" s="30"/>
      <c r="EF32" s="30"/>
      <c r="EG32" s="30"/>
      <c r="EH32" s="30"/>
      <c r="EI32" s="30"/>
      <c r="EJ32" s="30"/>
      <c r="EK32" s="30"/>
      <c r="EL32" s="30"/>
      <c r="EM32" s="30"/>
      <c r="EN32" s="30"/>
      <c r="EO32" s="30"/>
      <c r="EP32" s="30"/>
      <c r="EQ32" s="30"/>
      <c r="ER32" s="30"/>
      <c r="ES32" s="30"/>
      <c r="ET32" s="30"/>
      <c r="EU32" s="30"/>
      <c r="EV32" s="30"/>
      <c r="EW32" s="30"/>
      <c r="EX32" s="30"/>
      <c r="EY32" s="30"/>
      <c r="EZ32" s="30"/>
      <c r="FA32" s="30"/>
      <c r="FB32" s="30"/>
      <c r="FC32" s="30"/>
      <c r="FD32" s="30"/>
      <c r="FE32" s="30"/>
      <c r="FF32" s="30"/>
      <c r="FG32" s="30"/>
      <c r="FH32" s="30"/>
      <c r="FI32" s="30"/>
      <c r="FJ32" s="30"/>
      <c r="FK32" s="30"/>
      <c r="FL32" s="30"/>
      <c r="FM32" s="30"/>
      <c r="FN32" s="30"/>
      <c r="FO32" s="30"/>
      <c r="FP32" s="30"/>
      <c r="FQ32" s="30"/>
      <c r="FR32" s="30"/>
      <c r="FS32" s="30"/>
      <c r="FT32" s="30"/>
      <c r="FU32" s="30"/>
      <c r="FV32" s="30"/>
      <c r="FW32" s="30"/>
      <c r="FX32" s="30"/>
      <c r="FY32" s="30"/>
      <c r="FZ32" s="30"/>
      <c r="GA32" s="30"/>
      <c r="GB32" s="30"/>
      <c r="GC32" s="30"/>
      <c r="GD32" s="30"/>
      <c r="GE32" s="30"/>
      <c r="GF32" s="30"/>
      <c r="GG32" s="30"/>
      <c r="GH32" s="30"/>
      <c r="GI32" s="30"/>
      <c r="GJ32" s="30"/>
      <c r="GK32" s="30"/>
      <c r="GL32" s="30"/>
      <c r="GM32" s="30"/>
      <c r="GN32" s="30"/>
      <c r="GO32" s="30"/>
      <c r="GP32" s="30"/>
    </row>
    <row r="33" spans="2:198" ht="13.5" customHeight="1" thickBot="1" x14ac:dyDescent="0.3">
      <c r="B33" s="127" t="s">
        <v>140</v>
      </c>
      <c r="C33" s="127" t="s">
        <v>141</v>
      </c>
      <c r="D33" s="132" t="s">
        <v>142</v>
      </c>
      <c r="E33" s="133"/>
      <c r="F33" s="134"/>
      <c r="G33" s="127" t="s">
        <v>143</v>
      </c>
      <c r="H33" s="129" t="s">
        <v>118</v>
      </c>
      <c r="I33" s="130"/>
      <c r="J33" s="130"/>
      <c r="K33" s="130"/>
      <c r="L33" s="130"/>
      <c r="M33" s="130"/>
      <c r="N33" s="130"/>
      <c r="O33" s="131"/>
      <c r="P33" s="127" t="s">
        <v>144</v>
      </c>
      <c r="Q33" s="127" t="s">
        <v>145</v>
      </c>
      <c r="R33" s="127" t="s">
        <v>146</v>
      </c>
      <c r="S33" s="127" t="s">
        <v>147</v>
      </c>
      <c r="T33" s="127" t="s">
        <v>137</v>
      </c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s="30"/>
      <c r="AV33" s="30"/>
      <c r="AW33" s="30"/>
      <c r="AX33" s="30"/>
      <c r="AY33" s="30"/>
      <c r="AZ33" s="30"/>
      <c r="BA33" s="30"/>
      <c r="BB33" s="30"/>
      <c r="BC33" s="30"/>
      <c r="BD33" s="30"/>
      <c r="BE33" s="30"/>
      <c r="BF33" s="30"/>
      <c r="BG33" s="30"/>
      <c r="BH33" s="30"/>
      <c r="BI33" s="30"/>
      <c r="BJ33" s="30"/>
      <c r="BK33" s="30"/>
      <c r="BL33" s="30"/>
      <c r="BM33" s="30"/>
      <c r="BN33" s="30"/>
      <c r="BO33" s="30"/>
      <c r="BP33" s="30"/>
      <c r="BQ33" s="30"/>
      <c r="BR33" s="30"/>
      <c r="BS33" s="30"/>
      <c r="BT33" s="30"/>
      <c r="BU33" s="30"/>
      <c r="BV33" s="30"/>
      <c r="BW33" s="30"/>
      <c r="BX33" s="30"/>
      <c r="BY33" s="30"/>
      <c r="BZ33" s="30"/>
      <c r="CA33" s="30"/>
      <c r="CB33" s="30"/>
      <c r="CC33" s="30"/>
      <c r="CD33" s="30"/>
      <c r="CE33" s="30"/>
      <c r="CF33" s="30"/>
      <c r="CG33" s="30"/>
      <c r="CH33" s="30"/>
      <c r="CI33" s="30"/>
      <c r="CJ33" s="30"/>
      <c r="CK33" s="30"/>
      <c r="CL33" s="30"/>
      <c r="CM33" s="30"/>
      <c r="CN33" s="30"/>
      <c r="CO33" s="30"/>
      <c r="CP33" s="30"/>
      <c r="CQ33" s="30"/>
      <c r="CR33" s="30"/>
      <c r="CS33" s="30"/>
      <c r="CT33" s="30"/>
      <c r="CU33" s="30"/>
      <c r="CV33" s="30"/>
      <c r="CW33" s="30"/>
      <c r="CX33" s="30"/>
      <c r="CY33" s="30"/>
      <c r="CZ33" s="30"/>
      <c r="DA33" s="30"/>
      <c r="DB33" s="30"/>
      <c r="DC33" s="30"/>
      <c r="DD33" s="30"/>
      <c r="DE33" s="30"/>
      <c r="DF33" s="30"/>
      <c r="DG33" s="30"/>
      <c r="DH33" s="30"/>
      <c r="DI33" s="30"/>
      <c r="DJ33" s="30"/>
      <c r="DK33" s="30"/>
      <c r="DL33" s="30"/>
      <c r="DM33" s="30"/>
      <c r="DN33" s="30"/>
      <c r="DO33" s="30"/>
      <c r="DP33" s="30"/>
      <c r="DQ33" s="30"/>
      <c r="DR33" s="30"/>
      <c r="DS33" s="30"/>
      <c r="DT33" s="30"/>
      <c r="DU33" s="30"/>
      <c r="DV33" s="30"/>
      <c r="DW33" s="30"/>
      <c r="DX33" s="30"/>
      <c r="DY33" s="30"/>
      <c r="DZ33" s="30"/>
      <c r="EA33" s="30"/>
      <c r="EB33" s="30"/>
      <c r="EC33" s="30"/>
      <c r="ED33" s="30"/>
      <c r="EE33" s="30"/>
      <c r="EF33" s="30"/>
      <c r="EG33" s="30"/>
      <c r="EH33" s="30"/>
      <c r="EI33" s="30"/>
      <c r="EJ33" s="30"/>
      <c r="EK33" s="30"/>
      <c r="EL33" s="30"/>
      <c r="EM33" s="30"/>
      <c r="EN33" s="30"/>
      <c r="EO33" s="30"/>
      <c r="EP33" s="30"/>
      <c r="EQ33" s="30"/>
      <c r="ER33" s="30"/>
      <c r="ES33" s="30"/>
      <c r="ET33" s="30"/>
      <c r="EU33" s="30"/>
      <c r="EV33" s="30"/>
      <c r="EW33" s="30"/>
      <c r="EX33" s="30"/>
      <c r="EY33" s="30"/>
      <c r="EZ33" s="30"/>
      <c r="FA33" s="30"/>
      <c r="FB33" s="30"/>
      <c r="FC33" s="30"/>
      <c r="FD33" s="30"/>
      <c r="FE33" s="30"/>
      <c r="FF33" s="30"/>
      <c r="FG33" s="30"/>
      <c r="FH33" s="30"/>
      <c r="FI33" s="30"/>
      <c r="FJ33" s="30"/>
      <c r="FK33" s="30"/>
      <c r="FL33" s="30"/>
      <c r="FM33" s="30"/>
      <c r="FN33" s="30"/>
      <c r="FO33" s="30"/>
      <c r="FP33" s="30"/>
      <c r="FQ33" s="30"/>
      <c r="FR33" s="30"/>
      <c r="FS33" s="30"/>
      <c r="FT33" s="30"/>
      <c r="FU33" s="30"/>
      <c r="FV33" s="30"/>
      <c r="FW33" s="30"/>
      <c r="FX33" s="30"/>
      <c r="FY33" s="30"/>
      <c r="FZ33" s="30"/>
      <c r="GA33" s="30"/>
      <c r="GB33" s="30"/>
      <c r="GC33" s="30"/>
      <c r="GD33" s="30"/>
      <c r="GE33" s="30"/>
      <c r="GF33" s="30"/>
      <c r="GG33" s="30"/>
      <c r="GH33" s="30"/>
      <c r="GI33" s="30"/>
      <c r="GJ33" s="30"/>
      <c r="GK33" s="30"/>
      <c r="GL33" s="30"/>
      <c r="GM33" s="30"/>
      <c r="GN33" s="30"/>
      <c r="GO33" s="30"/>
      <c r="GP33" s="30"/>
    </row>
    <row r="34" spans="2:198" ht="13.8" thickBot="1" x14ac:dyDescent="0.3">
      <c r="B34" s="128"/>
      <c r="C34" s="128"/>
      <c r="D34" s="9" t="s">
        <v>148</v>
      </c>
      <c r="E34" s="9" t="s">
        <v>149</v>
      </c>
      <c r="F34" s="9" t="s">
        <v>150</v>
      </c>
      <c r="G34" s="128"/>
      <c r="H34" s="129" t="s">
        <v>151</v>
      </c>
      <c r="I34" s="131"/>
      <c r="J34" s="129" t="s">
        <v>136</v>
      </c>
      <c r="K34" s="136"/>
      <c r="L34" s="135" t="s">
        <v>152</v>
      </c>
      <c r="M34" s="136"/>
      <c r="N34" s="129" t="s">
        <v>153</v>
      </c>
      <c r="O34" s="131"/>
      <c r="P34" s="128"/>
      <c r="Q34" s="128"/>
      <c r="R34" s="128"/>
      <c r="S34" s="128"/>
      <c r="T34" s="128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0"/>
      <c r="AN34" s="30"/>
      <c r="AO34" s="30"/>
      <c r="AP34" s="30"/>
      <c r="AQ34" s="30"/>
      <c r="AR34" s="30"/>
      <c r="AS34" s="30"/>
      <c r="AT34" s="30"/>
      <c r="AU34" s="30"/>
      <c r="AV34" s="30"/>
      <c r="AW34" s="30"/>
      <c r="AX34" s="30"/>
      <c r="AY34" s="30"/>
      <c r="AZ34" s="30"/>
      <c r="BA34" s="30"/>
      <c r="BB34" s="30"/>
      <c r="BC34" s="30"/>
      <c r="BD34" s="30"/>
      <c r="BE34" s="30"/>
      <c r="BF34" s="30"/>
      <c r="BG34" s="30"/>
      <c r="BH34" s="30"/>
      <c r="BI34" s="30"/>
      <c r="BJ34" s="30"/>
      <c r="BK34" s="30"/>
      <c r="BL34" s="30"/>
      <c r="BM34" s="30"/>
      <c r="BN34" s="30"/>
      <c r="BO34" s="30"/>
      <c r="BP34" s="30"/>
      <c r="BQ34" s="30"/>
      <c r="BR34" s="30"/>
      <c r="BS34" s="30"/>
      <c r="BT34" s="30"/>
      <c r="BU34" s="30"/>
      <c r="BV34" s="30"/>
      <c r="BW34" s="30"/>
      <c r="BX34" s="30"/>
      <c r="BY34" s="30"/>
      <c r="BZ34" s="30"/>
      <c r="CA34" s="30"/>
      <c r="CB34" s="30"/>
      <c r="CC34" s="30"/>
      <c r="CD34" s="30"/>
      <c r="CE34" s="30"/>
      <c r="CF34" s="30"/>
      <c r="CG34" s="30"/>
      <c r="CH34" s="30"/>
      <c r="CI34" s="30"/>
      <c r="CJ34" s="30"/>
      <c r="CK34" s="30"/>
      <c r="CL34" s="30"/>
      <c r="CM34" s="30"/>
      <c r="CN34" s="30"/>
      <c r="CO34" s="30"/>
      <c r="CP34" s="30"/>
      <c r="CQ34" s="30"/>
      <c r="CR34" s="30"/>
      <c r="CS34" s="30"/>
      <c r="CT34" s="30"/>
      <c r="CU34" s="30"/>
      <c r="CV34" s="30"/>
      <c r="CW34" s="30"/>
      <c r="CX34" s="30"/>
      <c r="CY34" s="30"/>
      <c r="CZ34" s="30"/>
      <c r="DA34" s="30"/>
      <c r="DB34" s="30"/>
      <c r="DC34" s="30"/>
      <c r="DD34" s="30"/>
      <c r="DE34" s="30"/>
      <c r="DF34" s="30"/>
      <c r="DG34" s="30"/>
      <c r="DH34" s="30"/>
      <c r="DI34" s="30"/>
      <c r="DJ34" s="30"/>
      <c r="DK34" s="30"/>
      <c r="DL34" s="30"/>
      <c r="DM34" s="30"/>
      <c r="DN34" s="30"/>
      <c r="DO34" s="30"/>
      <c r="DP34" s="30"/>
      <c r="DQ34" s="30"/>
      <c r="DR34" s="30"/>
      <c r="DS34" s="30"/>
      <c r="DT34" s="30"/>
      <c r="DU34" s="30"/>
      <c r="DV34" s="30"/>
      <c r="DW34" s="30"/>
      <c r="DX34" s="30"/>
      <c r="DY34" s="30"/>
      <c r="DZ34" s="30"/>
      <c r="EA34" s="30"/>
      <c r="EB34" s="30"/>
      <c r="EC34" s="30"/>
      <c r="ED34" s="30"/>
      <c r="EE34" s="30"/>
      <c r="EF34" s="30"/>
      <c r="EG34" s="30"/>
      <c r="EH34" s="30"/>
      <c r="EI34" s="30"/>
      <c r="EJ34" s="30"/>
      <c r="EK34" s="30"/>
      <c r="EL34" s="30"/>
      <c r="EM34" s="30"/>
      <c r="EN34" s="30"/>
      <c r="EO34" s="30"/>
      <c r="EP34" s="30"/>
      <c r="EQ34" s="30"/>
      <c r="ER34" s="30"/>
      <c r="ES34" s="30"/>
      <c r="ET34" s="30"/>
      <c r="EU34" s="30"/>
      <c r="EV34" s="30"/>
      <c r="EW34" s="30"/>
      <c r="EX34" s="30"/>
      <c r="EY34" s="30"/>
      <c r="EZ34" s="30"/>
      <c r="FA34" s="30"/>
      <c r="FB34" s="30"/>
      <c r="FC34" s="30"/>
      <c r="FD34" s="30"/>
      <c r="FE34" s="30"/>
      <c r="FF34" s="30"/>
      <c r="FG34" s="30"/>
      <c r="FH34" s="30"/>
      <c r="FI34" s="30"/>
      <c r="FJ34" s="30"/>
      <c r="FK34" s="30"/>
      <c r="FL34" s="30"/>
      <c r="FM34" s="30"/>
      <c r="FN34" s="30"/>
      <c r="FO34" s="30"/>
      <c r="FP34" s="30"/>
      <c r="FQ34" s="30"/>
      <c r="FR34" s="30"/>
      <c r="FS34" s="30"/>
      <c r="FT34" s="30"/>
      <c r="FU34" s="30"/>
      <c r="FV34" s="30"/>
      <c r="FW34" s="30"/>
      <c r="FX34" s="30"/>
      <c r="FY34" s="30"/>
      <c r="FZ34" s="30"/>
      <c r="GA34" s="30"/>
      <c r="GB34" s="30"/>
      <c r="GC34" s="30"/>
      <c r="GD34" s="30"/>
      <c r="GE34" s="30"/>
      <c r="GF34" s="30"/>
      <c r="GG34" s="30"/>
      <c r="GH34" s="30"/>
      <c r="GI34" s="30"/>
      <c r="GJ34" s="30"/>
      <c r="GK34" s="30"/>
      <c r="GL34" s="30"/>
      <c r="GM34" s="30"/>
      <c r="GN34" s="30"/>
      <c r="GO34" s="30"/>
      <c r="GP34" s="30"/>
    </row>
    <row r="35" spans="2:198" s="7" customFormat="1" x14ac:dyDescent="0.25">
      <c r="B35" s="22" t="e">
        <f>IF(#REF!=0,"",#REF!)</f>
        <v>#REF!</v>
      </c>
      <c r="C35" s="17" t="e">
        <f>IF(COUNTIF(#REF!,"OK")+COUNTIF(#REF!,"NOK")+COUNTIF(#REF!,"PDTE")+COUNTIF(#REF!,"N/A")=0,"",COUNTIF(#REF!,"OK")+COUNTIF(#REF!,"NOK")+COUNTIF(#REF!,"PDTE")+COUNTIF(#REF!,"N/A"))</f>
        <v>#REF!</v>
      </c>
      <c r="D35" s="10"/>
      <c r="E35" s="10"/>
      <c r="F35" s="10"/>
      <c r="G35" s="17" t="e">
        <f>IF(COUNTIF(#REF!,"N/A")=0,"",COUNTIF(#REF!,"N/A"))</f>
        <v>#REF!</v>
      </c>
      <c r="H35" s="17" t="e">
        <f>IF(COUNTIF(#REF!,"OK")+COUNTIF(#REF!,"NOK")=0,"",COUNTIF(#REF!,"OK")+COUNTIF(#REF!,"NOK"))</f>
        <v>#REF!</v>
      </c>
      <c r="I35" s="5" t="e">
        <f>IF(OR(C35=" ",OR(H35="",H35=0)),"",H35/C35)</f>
        <v>#REF!</v>
      </c>
      <c r="J35" s="23" t="e">
        <f>IF(COUNTIF(#REF!,"OK")=0,"",COUNTIF(#REF!,"OK"))</f>
        <v>#REF!</v>
      </c>
      <c r="K35" s="5" t="e">
        <f>IF(OR(C35=" ",OR(J35="",J35=0)),"",J35/C35)</f>
        <v>#REF!</v>
      </c>
      <c r="L35" s="23" t="e">
        <f>IF(COUNTIF(#REF!,"NOK")=0,"",COUNTIF(#REF!,"NOK"))</f>
        <v>#REF!</v>
      </c>
      <c r="M35" s="5" t="e">
        <f>IF(OR(C35=" ",OR(L35="",L35=0)),"",L35/C35)</f>
        <v>#REF!</v>
      </c>
      <c r="N35" s="23" t="e">
        <f>IF(COUNTIF(#REF!,"PDTE")=0,"",COUNTIF(#REF!,"PDTE"))</f>
        <v>#REF!</v>
      </c>
      <c r="O35" s="5" t="e">
        <f>IF(OR(C35=" ",OR(N35="",N35=0)),"",N35/C35)</f>
        <v>#REF!</v>
      </c>
      <c r="P35" s="5" t="e">
        <f>IF(OR(H35=0,H35=""),"",SUM(J35)/H35)</f>
        <v>#REF!</v>
      </c>
      <c r="Q35" s="5" t="e">
        <f>IF(OR(H35=0,H35=""),"",SUM(D35:F35)/H35)</f>
        <v>#REF!</v>
      </c>
      <c r="R35" s="5" t="e">
        <f>IF(Q35="","",1-Q35)</f>
        <v>#REF!</v>
      </c>
      <c r="S35" s="5" t="e">
        <f>IF(OR(I35="",I35=0),"",I35)</f>
        <v>#REF!</v>
      </c>
      <c r="T35" s="24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39"/>
      <c r="AL35" s="39"/>
      <c r="AM35" s="39"/>
      <c r="AN35" s="39"/>
      <c r="AO35" s="39"/>
      <c r="AP35" s="39"/>
      <c r="AQ35" s="39"/>
      <c r="AR35" s="39"/>
      <c r="AS35" s="39"/>
      <c r="AT35" s="39"/>
      <c r="AU35" s="39"/>
      <c r="AV35" s="39"/>
      <c r="AW35" s="39"/>
      <c r="AX35" s="39"/>
      <c r="AY35" s="39"/>
      <c r="AZ35" s="39"/>
      <c r="BA35" s="39"/>
      <c r="BB35" s="39"/>
      <c r="BC35" s="39"/>
      <c r="BD35" s="39"/>
      <c r="BE35" s="39"/>
      <c r="BF35" s="39"/>
      <c r="BG35" s="39"/>
      <c r="BH35" s="39"/>
      <c r="BI35" s="39"/>
      <c r="BJ35" s="39"/>
      <c r="BK35" s="39"/>
      <c r="BL35" s="39"/>
      <c r="BM35" s="39"/>
      <c r="BN35" s="39"/>
      <c r="BO35" s="39"/>
      <c r="BP35" s="39"/>
      <c r="BQ35" s="39"/>
      <c r="BR35" s="39"/>
      <c r="BS35" s="39"/>
      <c r="BT35" s="39"/>
      <c r="BU35" s="39"/>
      <c r="BV35" s="39"/>
      <c r="BW35" s="39"/>
      <c r="BX35" s="39"/>
      <c r="BY35" s="39"/>
      <c r="BZ35" s="39"/>
      <c r="CA35" s="39"/>
      <c r="CB35" s="39"/>
      <c r="CC35" s="39"/>
      <c r="CD35" s="39"/>
      <c r="CE35" s="39"/>
      <c r="CF35" s="39"/>
      <c r="CG35" s="39"/>
      <c r="CH35" s="39"/>
      <c r="CI35" s="39"/>
      <c r="CJ35" s="39"/>
      <c r="CK35" s="39"/>
      <c r="CL35" s="39"/>
      <c r="CM35" s="39"/>
      <c r="CN35" s="39"/>
      <c r="CO35" s="39"/>
      <c r="CP35" s="39"/>
      <c r="CQ35" s="39"/>
      <c r="CR35" s="39"/>
      <c r="CS35" s="39"/>
      <c r="CT35" s="39"/>
      <c r="CU35" s="39"/>
      <c r="CV35" s="39"/>
      <c r="CW35" s="39"/>
      <c r="CX35" s="39"/>
      <c r="CY35" s="39"/>
      <c r="CZ35" s="39"/>
      <c r="DA35" s="39"/>
      <c r="DB35" s="39"/>
      <c r="DC35" s="39"/>
      <c r="DD35" s="39"/>
      <c r="DE35" s="39"/>
      <c r="DF35" s="39"/>
      <c r="DG35" s="39"/>
      <c r="DH35" s="39"/>
      <c r="DI35" s="39"/>
      <c r="DJ35" s="39"/>
      <c r="DK35" s="39"/>
      <c r="DL35" s="39"/>
      <c r="DM35" s="39"/>
      <c r="DN35" s="39"/>
      <c r="DO35" s="39"/>
      <c r="DP35" s="39"/>
      <c r="DQ35" s="39"/>
      <c r="DR35" s="39"/>
      <c r="DS35" s="39"/>
      <c r="DT35" s="39"/>
      <c r="DU35" s="39"/>
      <c r="DV35" s="39"/>
      <c r="DW35" s="39"/>
      <c r="DX35" s="39"/>
      <c r="DY35" s="39"/>
      <c r="DZ35" s="39"/>
      <c r="EA35" s="39"/>
      <c r="EB35" s="39"/>
      <c r="EC35" s="39"/>
      <c r="ED35" s="39"/>
      <c r="EE35" s="39"/>
      <c r="EF35" s="39"/>
      <c r="EG35" s="39"/>
      <c r="EH35" s="39"/>
      <c r="EI35" s="39"/>
      <c r="EJ35" s="39"/>
      <c r="EK35" s="39"/>
      <c r="EL35" s="39"/>
      <c r="EM35" s="39"/>
      <c r="EN35" s="39"/>
      <c r="EO35" s="39"/>
      <c r="EP35" s="39"/>
      <c r="EQ35" s="39"/>
      <c r="ER35" s="39"/>
      <c r="ES35" s="39"/>
      <c r="ET35" s="39"/>
      <c r="EU35" s="39"/>
      <c r="EV35" s="39"/>
      <c r="EW35" s="39"/>
      <c r="EX35" s="39"/>
      <c r="EY35" s="39"/>
      <c r="EZ35" s="39"/>
      <c r="FA35" s="39"/>
      <c r="FB35" s="39"/>
      <c r="FC35" s="39"/>
      <c r="FD35" s="39"/>
      <c r="FE35" s="39"/>
      <c r="FF35" s="39"/>
      <c r="FG35" s="39"/>
      <c r="FH35" s="39"/>
      <c r="FI35" s="39"/>
      <c r="FJ35" s="39"/>
      <c r="FK35" s="39"/>
      <c r="FL35" s="39"/>
      <c r="FM35" s="39"/>
      <c r="FN35" s="39"/>
      <c r="FO35" s="39"/>
      <c r="FP35" s="39"/>
      <c r="FQ35" s="39"/>
      <c r="FR35" s="39"/>
      <c r="FS35" s="39"/>
      <c r="FT35" s="39"/>
      <c r="FU35" s="39"/>
      <c r="FV35" s="39"/>
      <c r="FW35" s="39"/>
      <c r="FX35" s="39"/>
      <c r="FY35" s="39"/>
      <c r="FZ35" s="39"/>
      <c r="GA35" s="39"/>
      <c r="GB35" s="39"/>
      <c r="GC35" s="39"/>
      <c r="GD35" s="39"/>
      <c r="GE35" s="39"/>
      <c r="GF35" s="39"/>
      <c r="GG35" s="39"/>
      <c r="GH35" s="39"/>
      <c r="GI35" s="39"/>
      <c r="GJ35" s="39"/>
      <c r="GK35" s="39"/>
      <c r="GL35" s="39"/>
      <c r="GM35" s="39"/>
      <c r="GN35" s="39"/>
      <c r="GO35" s="39"/>
      <c r="GP35" s="39"/>
    </row>
    <row r="36" spans="2:198" s="7" customFormat="1" x14ac:dyDescent="0.25">
      <c r="B36" s="2"/>
      <c r="C36" s="4"/>
      <c r="D36" s="4"/>
      <c r="E36" s="4"/>
      <c r="F36" s="4"/>
      <c r="G36" s="4"/>
      <c r="H36" s="4"/>
      <c r="I36" s="5" t="str">
        <f>IF(OR(C36=" ",OR(H36="",H36=0)),"",H36/C36)</f>
        <v/>
      </c>
      <c r="J36" s="12"/>
      <c r="K36" s="5" t="str">
        <f>IF(OR(C36=" ",OR(J36="",J36=0)),"",J36/C36)</f>
        <v/>
      </c>
      <c r="L36" s="12"/>
      <c r="M36" s="5" t="str">
        <f>IF(OR(C36=" ",OR(L36="",L36=0)),"",L36/C36)</f>
        <v/>
      </c>
      <c r="N36" s="11"/>
      <c r="O36" s="6" t="str">
        <f>IF(OR(C36=" ",OR(N36="",N36=0)),"",N36/C36)</f>
        <v/>
      </c>
      <c r="P36" s="6" t="str">
        <f>IF(OR(H36=0,H36=""),"",J36/H36)</f>
        <v/>
      </c>
      <c r="Q36" s="6" t="str">
        <f>IF(OR(H36=0,H36=""),"",SUM(D36:E36)/H36)</f>
        <v/>
      </c>
      <c r="R36" s="6" t="str">
        <f>IF(Q36="","",1-Q36)</f>
        <v/>
      </c>
      <c r="S36" s="6" t="str">
        <f>IF(OR(I36="",I36=0),"",I36)</f>
        <v/>
      </c>
      <c r="T36" s="13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M36" s="39"/>
      <c r="AN36" s="39"/>
      <c r="AO36" s="39"/>
      <c r="AP36" s="39"/>
      <c r="AQ36" s="39"/>
      <c r="AR36" s="39"/>
      <c r="AS36" s="39"/>
      <c r="AT36" s="39"/>
      <c r="AU36" s="39"/>
      <c r="AV36" s="39"/>
      <c r="AW36" s="39"/>
      <c r="AX36" s="39"/>
      <c r="AY36" s="39"/>
      <c r="AZ36" s="39"/>
      <c r="BA36" s="39"/>
      <c r="BB36" s="39"/>
      <c r="BC36" s="39"/>
      <c r="BD36" s="39"/>
      <c r="BE36" s="39"/>
      <c r="BF36" s="39"/>
      <c r="BG36" s="39"/>
      <c r="BH36" s="39"/>
      <c r="BI36" s="39"/>
      <c r="BJ36" s="39"/>
      <c r="BK36" s="39"/>
      <c r="BL36" s="39"/>
      <c r="BM36" s="39"/>
      <c r="BN36" s="39"/>
      <c r="BO36" s="39"/>
      <c r="BP36" s="39"/>
      <c r="BQ36" s="39"/>
      <c r="BR36" s="39"/>
      <c r="BS36" s="39"/>
      <c r="BT36" s="39"/>
      <c r="BU36" s="39"/>
      <c r="BV36" s="39"/>
      <c r="BW36" s="39"/>
      <c r="BX36" s="39"/>
      <c r="BY36" s="39"/>
      <c r="BZ36" s="39"/>
      <c r="CA36" s="39"/>
      <c r="CB36" s="39"/>
      <c r="CC36" s="39"/>
      <c r="CD36" s="39"/>
      <c r="CE36" s="39"/>
      <c r="CF36" s="39"/>
      <c r="CG36" s="39"/>
      <c r="CH36" s="39"/>
      <c r="CI36" s="39"/>
      <c r="CJ36" s="39"/>
      <c r="CK36" s="39"/>
      <c r="CL36" s="39"/>
      <c r="CM36" s="39"/>
      <c r="CN36" s="39"/>
      <c r="CO36" s="39"/>
      <c r="CP36" s="39"/>
      <c r="CQ36" s="39"/>
      <c r="CR36" s="39"/>
      <c r="CS36" s="39"/>
      <c r="CT36" s="39"/>
      <c r="CU36" s="39"/>
      <c r="CV36" s="39"/>
      <c r="CW36" s="39"/>
      <c r="CX36" s="39"/>
      <c r="CY36" s="39"/>
      <c r="CZ36" s="39"/>
      <c r="DA36" s="39"/>
      <c r="DB36" s="39"/>
      <c r="DC36" s="39"/>
      <c r="DD36" s="39"/>
      <c r="DE36" s="39"/>
      <c r="DF36" s="39"/>
      <c r="DG36" s="39"/>
      <c r="DH36" s="39"/>
      <c r="DI36" s="39"/>
      <c r="DJ36" s="39"/>
      <c r="DK36" s="39"/>
      <c r="DL36" s="39"/>
      <c r="DM36" s="39"/>
      <c r="DN36" s="39"/>
      <c r="DO36" s="39"/>
      <c r="DP36" s="39"/>
      <c r="DQ36" s="39"/>
      <c r="DR36" s="39"/>
      <c r="DS36" s="39"/>
      <c r="DT36" s="39"/>
      <c r="DU36" s="39"/>
      <c r="DV36" s="39"/>
      <c r="DW36" s="39"/>
      <c r="DX36" s="39"/>
      <c r="DY36" s="39"/>
      <c r="DZ36" s="39"/>
      <c r="EA36" s="39"/>
      <c r="EB36" s="39"/>
      <c r="EC36" s="39"/>
      <c r="ED36" s="39"/>
      <c r="EE36" s="39"/>
      <c r="EF36" s="39"/>
      <c r="EG36" s="39"/>
      <c r="EH36" s="39"/>
      <c r="EI36" s="39"/>
      <c r="EJ36" s="39"/>
      <c r="EK36" s="39"/>
      <c r="EL36" s="39"/>
      <c r="EM36" s="39"/>
      <c r="EN36" s="39"/>
      <c r="EO36" s="39"/>
      <c r="EP36" s="39"/>
      <c r="EQ36" s="39"/>
      <c r="ER36" s="39"/>
      <c r="ES36" s="39"/>
      <c r="ET36" s="39"/>
      <c r="EU36" s="39"/>
      <c r="EV36" s="39"/>
      <c r="EW36" s="39"/>
      <c r="EX36" s="39"/>
      <c r="EY36" s="39"/>
      <c r="EZ36" s="39"/>
      <c r="FA36" s="39"/>
      <c r="FB36" s="39"/>
      <c r="FC36" s="39"/>
      <c r="FD36" s="39"/>
      <c r="FE36" s="39"/>
      <c r="FF36" s="39"/>
      <c r="FG36" s="39"/>
      <c r="FH36" s="39"/>
      <c r="FI36" s="39"/>
      <c r="FJ36" s="39"/>
      <c r="FK36" s="39"/>
      <c r="FL36" s="39"/>
      <c r="FM36" s="39"/>
      <c r="FN36" s="39"/>
      <c r="FO36" s="39"/>
      <c r="FP36" s="39"/>
      <c r="FQ36" s="39"/>
      <c r="FR36" s="39"/>
      <c r="FS36" s="39"/>
      <c r="FT36" s="39"/>
      <c r="FU36" s="39"/>
      <c r="FV36" s="39"/>
      <c r="FW36" s="39"/>
      <c r="FX36" s="39"/>
      <c r="FY36" s="39"/>
      <c r="FZ36" s="39"/>
      <c r="GA36" s="39"/>
      <c r="GB36" s="39"/>
      <c r="GC36" s="39"/>
      <c r="GD36" s="39"/>
      <c r="GE36" s="39"/>
      <c r="GF36" s="39"/>
      <c r="GG36" s="39"/>
      <c r="GH36" s="39"/>
      <c r="GI36" s="39"/>
      <c r="GJ36" s="39"/>
      <c r="GK36" s="39"/>
      <c r="GL36" s="39"/>
      <c r="GM36" s="39"/>
      <c r="GN36" s="39"/>
      <c r="GO36" s="39"/>
      <c r="GP36" s="39"/>
    </row>
    <row r="37" spans="2:198" s="7" customFormat="1" x14ac:dyDescent="0.25">
      <c r="B37" s="2"/>
      <c r="C37" s="4"/>
      <c r="D37" s="4"/>
      <c r="E37" s="4"/>
      <c r="F37" s="4"/>
      <c r="G37" s="4"/>
      <c r="H37" s="4"/>
      <c r="I37" s="5" t="str">
        <f>IF(OR(C37=" ",OR(H37="",H37=0)),"",H37/C37)</f>
        <v/>
      </c>
      <c r="J37" s="12"/>
      <c r="K37" s="5" t="str">
        <f>IF(OR(C37=" ",OR(J37="",J37=0)),"",J37/C37)</f>
        <v/>
      </c>
      <c r="L37" s="12"/>
      <c r="M37" s="5" t="str">
        <f>IF(OR(C37=" ",OR(L37="",L37=0)),"",L37/C37)</f>
        <v/>
      </c>
      <c r="N37" s="11"/>
      <c r="O37" s="6" t="str">
        <f>IF(OR(C37=" ",OR(N37="",N37=0)),"",N37/C37)</f>
        <v/>
      </c>
      <c r="P37" s="6" t="str">
        <f>IF(OR(H37=0,H37=""),"",J37/H37)</f>
        <v/>
      </c>
      <c r="Q37" s="6" t="str">
        <f>IF(OR(H37=0,H37=""),"",SUM(D37:E37)/H37)</f>
        <v/>
      </c>
      <c r="R37" s="6" t="str">
        <f>IF(Q37="","",1-Q37)</f>
        <v/>
      </c>
      <c r="S37" s="6" t="str">
        <f>IF(OR(I37="",I37=0),"",I37)</f>
        <v/>
      </c>
      <c r="T37" s="13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39"/>
      <c r="AO37" s="39"/>
      <c r="AP37" s="39"/>
      <c r="AQ37" s="39"/>
      <c r="AR37" s="39"/>
      <c r="AS37" s="39"/>
      <c r="AT37" s="39"/>
      <c r="AU37" s="39"/>
      <c r="AV37" s="39"/>
      <c r="AW37" s="39"/>
      <c r="AX37" s="39"/>
      <c r="AY37" s="39"/>
      <c r="AZ37" s="39"/>
      <c r="BA37" s="39"/>
      <c r="BB37" s="39"/>
      <c r="BC37" s="39"/>
      <c r="BD37" s="39"/>
      <c r="BE37" s="39"/>
      <c r="BF37" s="39"/>
      <c r="BG37" s="39"/>
      <c r="BH37" s="39"/>
      <c r="BI37" s="39"/>
      <c r="BJ37" s="39"/>
      <c r="BK37" s="39"/>
      <c r="BL37" s="39"/>
      <c r="BM37" s="39"/>
      <c r="BN37" s="39"/>
      <c r="BO37" s="39"/>
      <c r="BP37" s="39"/>
      <c r="BQ37" s="39"/>
      <c r="BR37" s="39"/>
      <c r="BS37" s="39"/>
      <c r="BT37" s="39"/>
      <c r="BU37" s="39"/>
      <c r="BV37" s="39"/>
      <c r="BW37" s="39"/>
      <c r="BX37" s="39"/>
      <c r="BY37" s="39"/>
      <c r="BZ37" s="39"/>
      <c r="CA37" s="39"/>
      <c r="CB37" s="39"/>
      <c r="CC37" s="39"/>
      <c r="CD37" s="39"/>
      <c r="CE37" s="39"/>
      <c r="CF37" s="39"/>
      <c r="CG37" s="39"/>
      <c r="CH37" s="39"/>
      <c r="CI37" s="39"/>
      <c r="CJ37" s="39"/>
      <c r="CK37" s="39"/>
      <c r="CL37" s="39"/>
      <c r="CM37" s="39"/>
      <c r="CN37" s="39"/>
      <c r="CO37" s="39"/>
      <c r="CP37" s="39"/>
      <c r="CQ37" s="39"/>
      <c r="CR37" s="39"/>
      <c r="CS37" s="39"/>
      <c r="CT37" s="39"/>
      <c r="CU37" s="39"/>
      <c r="CV37" s="39"/>
      <c r="CW37" s="39"/>
      <c r="CX37" s="39"/>
      <c r="CY37" s="39"/>
      <c r="CZ37" s="39"/>
      <c r="DA37" s="39"/>
      <c r="DB37" s="39"/>
      <c r="DC37" s="39"/>
      <c r="DD37" s="39"/>
      <c r="DE37" s="39"/>
      <c r="DF37" s="39"/>
      <c r="DG37" s="39"/>
      <c r="DH37" s="39"/>
      <c r="DI37" s="39"/>
      <c r="DJ37" s="39"/>
      <c r="DK37" s="39"/>
      <c r="DL37" s="39"/>
      <c r="DM37" s="39"/>
      <c r="DN37" s="39"/>
      <c r="DO37" s="39"/>
      <c r="DP37" s="39"/>
      <c r="DQ37" s="39"/>
      <c r="DR37" s="39"/>
      <c r="DS37" s="39"/>
      <c r="DT37" s="39"/>
      <c r="DU37" s="39"/>
      <c r="DV37" s="39"/>
      <c r="DW37" s="39"/>
      <c r="DX37" s="39"/>
      <c r="DY37" s="39"/>
      <c r="DZ37" s="39"/>
      <c r="EA37" s="39"/>
      <c r="EB37" s="39"/>
      <c r="EC37" s="39"/>
      <c r="ED37" s="39"/>
      <c r="EE37" s="39"/>
      <c r="EF37" s="39"/>
      <c r="EG37" s="39"/>
      <c r="EH37" s="39"/>
      <c r="EI37" s="39"/>
      <c r="EJ37" s="39"/>
      <c r="EK37" s="39"/>
      <c r="EL37" s="39"/>
      <c r="EM37" s="39"/>
      <c r="EN37" s="39"/>
      <c r="EO37" s="39"/>
      <c r="EP37" s="39"/>
      <c r="EQ37" s="39"/>
      <c r="ER37" s="39"/>
      <c r="ES37" s="39"/>
      <c r="ET37" s="39"/>
      <c r="EU37" s="39"/>
      <c r="EV37" s="39"/>
      <c r="EW37" s="39"/>
      <c r="EX37" s="39"/>
      <c r="EY37" s="39"/>
      <c r="EZ37" s="39"/>
      <c r="FA37" s="39"/>
      <c r="FB37" s="39"/>
      <c r="FC37" s="39"/>
      <c r="FD37" s="39"/>
      <c r="FE37" s="39"/>
      <c r="FF37" s="39"/>
      <c r="FG37" s="39"/>
      <c r="FH37" s="39"/>
      <c r="FI37" s="39"/>
      <c r="FJ37" s="39"/>
      <c r="FK37" s="39"/>
      <c r="FL37" s="39"/>
      <c r="FM37" s="39"/>
      <c r="FN37" s="39"/>
      <c r="FO37" s="39"/>
      <c r="FP37" s="39"/>
      <c r="FQ37" s="39"/>
      <c r="FR37" s="39"/>
      <c r="FS37" s="39"/>
      <c r="FT37" s="39"/>
      <c r="FU37" s="39"/>
      <c r="FV37" s="39"/>
      <c r="FW37" s="39"/>
      <c r="FX37" s="39"/>
      <c r="FY37" s="39"/>
      <c r="FZ37" s="39"/>
      <c r="GA37" s="39"/>
      <c r="GB37" s="39"/>
      <c r="GC37" s="39"/>
      <c r="GD37" s="39"/>
      <c r="GE37" s="39"/>
      <c r="GF37" s="39"/>
      <c r="GG37" s="39"/>
      <c r="GH37" s="39"/>
      <c r="GI37" s="39"/>
      <c r="GJ37" s="39"/>
      <c r="GK37" s="39"/>
      <c r="GL37" s="39"/>
      <c r="GM37" s="39"/>
      <c r="GN37" s="39"/>
      <c r="GO37" s="39"/>
      <c r="GP37" s="39"/>
    </row>
    <row r="38" spans="2:198" ht="14.4" thickBot="1" x14ac:dyDescent="0.3">
      <c r="B38" s="14" t="s">
        <v>154</v>
      </c>
      <c r="C38" s="15" t="e">
        <f t="shared" ref="C38:H38" si="3">IF(OR(C35=0,C35=""),"",SUM(C35:C37))</f>
        <v>#REF!</v>
      </c>
      <c r="D38" s="15" t="str">
        <f t="shared" si="3"/>
        <v/>
      </c>
      <c r="E38" s="15" t="str">
        <f t="shared" si="3"/>
        <v/>
      </c>
      <c r="F38" s="15" t="str">
        <f t="shared" si="3"/>
        <v/>
      </c>
      <c r="G38" s="15" t="e">
        <f t="shared" si="3"/>
        <v>#REF!</v>
      </c>
      <c r="H38" s="15" t="e">
        <f t="shared" si="3"/>
        <v>#REF!</v>
      </c>
      <c r="I38" s="1" t="e">
        <f>IF(OR(H38=0,H38=""),"",AVERAGE(I35:I37))</f>
        <v>#REF!</v>
      </c>
      <c r="J38" s="15" t="e">
        <f>IF(OR(J35=0,J35=""),"",SUM(J35:J37))</f>
        <v>#REF!</v>
      </c>
      <c r="K38" s="1" t="e">
        <f>IF(OR(J38=0,J38=""),"",AVERAGE(K35:K37))</f>
        <v>#REF!</v>
      </c>
      <c r="L38" s="15" t="e">
        <f>IF(OR(L35=0,L35=""),"",SUM(L35:L37))</f>
        <v>#REF!</v>
      </c>
      <c r="M38" s="1" t="e">
        <f>IF(OR(L38=0,L38=""),"",AVERAGE(M35:M37))</f>
        <v>#REF!</v>
      </c>
      <c r="N38" s="15" t="e">
        <f>IF(OR(N35=0,N35=""),"",SUM(N35:N37))</f>
        <v>#REF!</v>
      </c>
      <c r="O38" s="1" t="e">
        <f>IF(OR(N38=0,N38=""),"",AVERAGE(O35:O37))</f>
        <v>#REF!</v>
      </c>
      <c r="P38" s="1" t="e">
        <f>IF(OR(P35=""),"",AVERAGE(P35:P37))</f>
        <v>#REF!</v>
      </c>
      <c r="Q38" s="1" t="e">
        <f>IF(OR(Q35=""),"",AVERAGE(Q35:Q37))</f>
        <v>#REF!</v>
      </c>
      <c r="R38" s="1" t="e">
        <f>IF(OR(R35=0,R35=""),"",AVERAGE(R35:R37))</f>
        <v>#REF!</v>
      </c>
      <c r="S38" s="1" t="e">
        <f>IF(OR(S35=0,S35=""),"",AVERAGE(S35:S37))</f>
        <v>#REF!</v>
      </c>
      <c r="T38" s="25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30"/>
      <c r="AW38" s="30"/>
      <c r="AX38" s="30"/>
      <c r="AY38" s="30"/>
      <c r="AZ38" s="30"/>
      <c r="BA38" s="30"/>
      <c r="BB38" s="30"/>
      <c r="BC38" s="30"/>
      <c r="BD38" s="30"/>
      <c r="BE38" s="30"/>
      <c r="BF38" s="30"/>
      <c r="BG38" s="30"/>
      <c r="BH38" s="30"/>
      <c r="BI38" s="30"/>
      <c r="BJ38" s="30"/>
      <c r="BK38" s="30"/>
      <c r="BL38" s="30"/>
      <c r="BM38" s="30"/>
      <c r="BN38" s="30"/>
      <c r="BO38" s="30"/>
      <c r="BP38" s="30"/>
      <c r="BQ38" s="30"/>
      <c r="BR38" s="30"/>
      <c r="BS38" s="30"/>
      <c r="BT38" s="30"/>
      <c r="BU38" s="30"/>
      <c r="BV38" s="30"/>
      <c r="BW38" s="30"/>
      <c r="BX38" s="30"/>
      <c r="BY38" s="30"/>
      <c r="BZ38" s="30"/>
      <c r="CA38" s="30"/>
      <c r="CB38" s="30"/>
      <c r="CC38" s="30"/>
      <c r="CD38" s="30"/>
      <c r="CE38" s="30"/>
      <c r="CF38" s="30"/>
      <c r="CG38" s="30"/>
      <c r="CH38" s="30"/>
      <c r="CI38" s="30"/>
      <c r="CJ38" s="30"/>
      <c r="CK38" s="30"/>
      <c r="CL38" s="30"/>
      <c r="CM38" s="30"/>
      <c r="CN38" s="30"/>
      <c r="CO38" s="30"/>
      <c r="CP38" s="30"/>
      <c r="CQ38" s="30"/>
      <c r="CR38" s="30"/>
      <c r="CS38" s="30"/>
      <c r="CT38" s="30"/>
      <c r="CU38" s="30"/>
      <c r="CV38" s="30"/>
      <c r="CW38" s="30"/>
      <c r="CX38" s="30"/>
      <c r="CY38" s="30"/>
      <c r="CZ38" s="30"/>
      <c r="DA38" s="30"/>
      <c r="DB38" s="30"/>
      <c r="DC38" s="30"/>
      <c r="DD38" s="30"/>
      <c r="DE38" s="30"/>
      <c r="DF38" s="30"/>
      <c r="DG38" s="30"/>
      <c r="DH38" s="30"/>
      <c r="DI38" s="30"/>
      <c r="DJ38" s="30"/>
      <c r="DK38" s="30"/>
      <c r="DL38" s="30"/>
      <c r="DM38" s="30"/>
      <c r="DN38" s="30"/>
      <c r="DO38" s="30"/>
      <c r="DP38" s="30"/>
      <c r="DQ38" s="30"/>
      <c r="DR38" s="30"/>
      <c r="DS38" s="30"/>
      <c r="DT38" s="30"/>
      <c r="DU38" s="30"/>
      <c r="DV38" s="30"/>
      <c r="DW38" s="30"/>
      <c r="DX38" s="30"/>
      <c r="DY38" s="30"/>
      <c r="DZ38" s="30"/>
      <c r="EA38" s="30"/>
      <c r="EB38" s="30"/>
      <c r="EC38" s="30"/>
      <c r="ED38" s="30"/>
      <c r="EE38" s="30"/>
      <c r="EF38" s="30"/>
      <c r="EG38" s="30"/>
      <c r="EH38" s="30"/>
      <c r="EI38" s="30"/>
      <c r="EJ38" s="30"/>
      <c r="EK38" s="30"/>
      <c r="EL38" s="30"/>
      <c r="EM38" s="30"/>
      <c r="EN38" s="30"/>
      <c r="EO38" s="30"/>
      <c r="EP38" s="30"/>
      <c r="EQ38" s="30"/>
      <c r="ER38" s="30"/>
      <c r="ES38" s="30"/>
      <c r="ET38" s="30"/>
      <c r="EU38" s="30"/>
      <c r="EV38" s="30"/>
      <c r="EW38" s="30"/>
      <c r="EX38" s="30"/>
      <c r="EY38" s="30"/>
      <c r="EZ38" s="30"/>
      <c r="FA38" s="30"/>
      <c r="FB38" s="30"/>
      <c r="FC38" s="30"/>
      <c r="FD38" s="30"/>
      <c r="FE38" s="30"/>
      <c r="FF38" s="30"/>
      <c r="FG38" s="30"/>
      <c r="FH38" s="30"/>
      <c r="FI38" s="30"/>
      <c r="FJ38" s="30"/>
      <c r="FK38" s="30"/>
      <c r="FL38" s="30"/>
      <c r="FM38" s="30"/>
      <c r="FN38" s="30"/>
      <c r="FO38" s="30"/>
      <c r="FP38" s="30"/>
      <c r="FQ38" s="30"/>
      <c r="FR38" s="30"/>
      <c r="FS38" s="30"/>
      <c r="FT38" s="30"/>
      <c r="FU38" s="30"/>
      <c r="FV38" s="30"/>
      <c r="FW38" s="30"/>
      <c r="FX38" s="30"/>
      <c r="FY38" s="30"/>
      <c r="FZ38" s="30"/>
      <c r="GA38" s="30"/>
      <c r="GB38" s="30"/>
      <c r="GC38" s="30"/>
      <c r="GD38" s="30"/>
      <c r="GE38" s="30"/>
      <c r="GF38" s="30"/>
      <c r="GG38" s="30"/>
      <c r="GH38" s="30"/>
      <c r="GI38" s="30"/>
      <c r="GJ38" s="30"/>
      <c r="GK38" s="30"/>
      <c r="GL38" s="30"/>
      <c r="GM38" s="30"/>
      <c r="GN38" s="30"/>
      <c r="GO38" s="30"/>
      <c r="GP38" s="30"/>
    </row>
    <row r="39" spans="2:198" x14ac:dyDescent="0.25">
      <c r="B39" s="34"/>
      <c r="C39" s="35"/>
      <c r="D39" s="32"/>
      <c r="E39" s="32"/>
      <c r="F39" s="35"/>
      <c r="G39" s="32"/>
      <c r="H39" s="32"/>
      <c r="I39" s="35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3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s="30"/>
      <c r="AV39" s="30"/>
      <c r="AW39" s="30"/>
      <c r="AX39" s="30"/>
      <c r="AY39" s="30"/>
      <c r="AZ39" s="30"/>
      <c r="BA39" s="30"/>
      <c r="BB39" s="30"/>
      <c r="BC39" s="30"/>
      <c r="BD39" s="30"/>
      <c r="BE39" s="30"/>
      <c r="BF39" s="30"/>
      <c r="BG39" s="30"/>
      <c r="BH39" s="30"/>
      <c r="BI39" s="30"/>
      <c r="BJ39" s="30"/>
      <c r="BK39" s="30"/>
      <c r="BL39" s="30"/>
      <c r="BM39" s="30"/>
      <c r="BN39" s="30"/>
      <c r="BO39" s="30"/>
      <c r="BP39" s="30"/>
      <c r="BQ39" s="30"/>
      <c r="BR39" s="30"/>
      <c r="BS39" s="30"/>
      <c r="BT39" s="30"/>
      <c r="BU39" s="30"/>
      <c r="BV39" s="30"/>
      <c r="BW39" s="30"/>
      <c r="BX39" s="30"/>
      <c r="BY39" s="30"/>
      <c r="BZ39" s="30"/>
      <c r="CA39" s="30"/>
      <c r="CB39" s="30"/>
      <c r="CC39" s="30"/>
      <c r="CD39" s="30"/>
      <c r="CE39" s="30"/>
      <c r="CF39" s="30"/>
      <c r="CG39" s="30"/>
      <c r="CH39" s="30"/>
      <c r="CI39" s="30"/>
      <c r="CJ39" s="30"/>
      <c r="CK39" s="30"/>
      <c r="CL39" s="30"/>
      <c r="CM39" s="30"/>
      <c r="CN39" s="30"/>
      <c r="CO39" s="30"/>
      <c r="CP39" s="30"/>
      <c r="CQ39" s="30"/>
      <c r="CR39" s="30"/>
      <c r="CS39" s="30"/>
      <c r="CT39" s="30"/>
      <c r="CU39" s="30"/>
      <c r="CV39" s="30"/>
      <c r="CW39" s="30"/>
      <c r="CX39" s="30"/>
      <c r="CY39" s="30"/>
      <c r="CZ39" s="30"/>
      <c r="DA39" s="30"/>
      <c r="DB39" s="30"/>
      <c r="DC39" s="30"/>
      <c r="DD39" s="30"/>
      <c r="DE39" s="30"/>
      <c r="DF39" s="30"/>
      <c r="DG39" s="30"/>
      <c r="DH39" s="30"/>
      <c r="DI39" s="30"/>
      <c r="DJ39" s="30"/>
      <c r="DK39" s="30"/>
      <c r="DL39" s="30"/>
      <c r="DM39" s="30"/>
      <c r="DN39" s="30"/>
      <c r="DO39" s="30"/>
      <c r="DP39" s="30"/>
      <c r="DQ39" s="30"/>
      <c r="DR39" s="30"/>
      <c r="DS39" s="30"/>
      <c r="DT39" s="30"/>
      <c r="DU39" s="30"/>
      <c r="DV39" s="30"/>
      <c r="DW39" s="30"/>
      <c r="DX39" s="30"/>
      <c r="DY39" s="30"/>
      <c r="DZ39" s="30"/>
      <c r="EA39" s="30"/>
      <c r="EB39" s="30"/>
      <c r="EC39" s="30"/>
      <c r="ED39" s="30"/>
      <c r="EE39" s="30"/>
      <c r="EF39" s="30"/>
      <c r="EG39" s="30"/>
      <c r="EH39" s="30"/>
      <c r="EI39" s="30"/>
      <c r="EJ39" s="30"/>
      <c r="EK39" s="30"/>
      <c r="EL39" s="30"/>
      <c r="EM39" s="30"/>
      <c r="EN39" s="30"/>
      <c r="EO39" s="30"/>
      <c r="EP39" s="30"/>
      <c r="EQ39" s="30"/>
      <c r="ER39" s="30"/>
      <c r="ES39" s="30"/>
      <c r="ET39" s="30"/>
      <c r="EU39" s="30"/>
      <c r="EV39" s="30"/>
      <c r="EW39" s="30"/>
      <c r="EX39" s="30"/>
      <c r="EY39" s="30"/>
      <c r="EZ39" s="30"/>
      <c r="FA39" s="30"/>
      <c r="FB39" s="30"/>
      <c r="FC39" s="30"/>
      <c r="FD39" s="30"/>
      <c r="FE39" s="30"/>
      <c r="FF39" s="30"/>
      <c r="FG39" s="30"/>
      <c r="FH39" s="30"/>
      <c r="FI39" s="30"/>
      <c r="FJ39" s="30"/>
      <c r="FK39" s="30"/>
      <c r="FL39" s="30"/>
      <c r="FM39" s="30"/>
      <c r="FN39" s="30"/>
      <c r="FO39" s="30"/>
      <c r="FP39" s="30"/>
      <c r="FQ39" s="30"/>
      <c r="FR39" s="30"/>
      <c r="FS39" s="30"/>
      <c r="FT39" s="30"/>
      <c r="FU39" s="30"/>
      <c r="FV39" s="30"/>
      <c r="FW39" s="30"/>
      <c r="FX39" s="30"/>
      <c r="FY39" s="30"/>
      <c r="FZ39" s="30"/>
      <c r="GA39" s="30"/>
      <c r="GB39" s="30"/>
      <c r="GC39" s="30"/>
      <c r="GD39" s="30"/>
      <c r="GE39" s="30"/>
      <c r="GF39" s="30"/>
      <c r="GG39" s="30"/>
      <c r="GH39" s="30"/>
      <c r="GI39" s="30"/>
      <c r="GJ39" s="30"/>
      <c r="GK39" s="30"/>
      <c r="GL39" s="30"/>
      <c r="GM39" s="30"/>
      <c r="GN39" s="30"/>
      <c r="GO39" s="30"/>
      <c r="GP39" s="30"/>
    </row>
    <row r="40" spans="2:198" ht="13.8" thickBot="1" x14ac:dyDescent="0.3">
      <c r="B40" s="36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7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/>
      <c r="AV40" s="30"/>
      <c r="AW40" s="30"/>
      <c r="AX40" s="30"/>
      <c r="AY40" s="30"/>
      <c r="AZ40" s="30"/>
      <c r="BA40" s="30"/>
      <c r="BB40" s="30"/>
      <c r="BC40" s="30"/>
      <c r="BD40" s="30"/>
      <c r="BE40" s="30"/>
      <c r="BF40" s="30"/>
      <c r="BG40" s="30"/>
      <c r="BH40" s="30"/>
      <c r="BI40" s="30"/>
      <c r="BJ40" s="30"/>
      <c r="BK40" s="30"/>
      <c r="BL40" s="30"/>
      <c r="BM40" s="30"/>
      <c r="BN40" s="30"/>
      <c r="BO40" s="30"/>
      <c r="BP40" s="30"/>
      <c r="BQ40" s="30"/>
      <c r="BR40" s="30"/>
      <c r="BS40" s="30"/>
      <c r="BT40" s="30"/>
      <c r="BU40" s="30"/>
      <c r="BV40" s="30"/>
      <c r="BW40" s="30"/>
      <c r="BX40" s="30"/>
      <c r="BY40" s="30"/>
      <c r="BZ40" s="30"/>
      <c r="CA40" s="30"/>
      <c r="CB40" s="30"/>
      <c r="CC40" s="30"/>
      <c r="CD40" s="30"/>
      <c r="CE40" s="30"/>
      <c r="CF40" s="30"/>
      <c r="CG40" s="30"/>
      <c r="CH40" s="30"/>
      <c r="CI40" s="30"/>
      <c r="CJ40" s="30"/>
      <c r="CK40" s="30"/>
      <c r="CL40" s="30"/>
      <c r="CM40" s="30"/>
      <c r="CN40" s="30"/>
      <c r="CO40" s="30"/>
      <c r="CP40" s="30"/>
      <c r="CQ40" s="30"/>
      <c r="CR40" s="30"/>
      <c r="CS40" s="30"/>
      <c r="CT40" s="30"/>
      <c r="CU40" s="30"/>
      <c r="CV40" s="30"/>
      <c r="CW40" s="30"/>
      <c r="CX40" s="30"/>
      <c r="CY40" s="30"/>
      <c r="CZ40" s="30"/>
      <c r="DA40" s="30"/>
      <c r="DB40" s="30"/>
      <c r="DC40" s="30"/>
      <c r="DD40" s="30"/>
      <c r="DE40" s="30"/>
      <c r="DF40" s="30"/>
      <c r="DG40" s="30"/>
      <c r="DH40" s="30"/>
      <c r="DI40" s="30"/>
      <c r="DJ40" s="30"/>
      <c r="DK40" s="30"/>
      <c r="DL40" s="30"/>
      <c r="DM40" s="30"/>
      <c r="DN40" s="30"/>
      <c r="DO40" s="30"/>
      <c r="DP40" s="30"/>
      <c r="DQ40" s="30"/>
      <c r="DR40" s="30"/>
      <c r="DS40" s="30"/>
      <c r="DT40" s="30"/>
      <c r="DU40" s="30"/>
      <c r="DV40" s="30"/>
      <c r="DW40" s="30"/>
      <c r="DX40" s="30"/>
      <c r="DY40" s="30"/>
      <c r="DZ40" s="30"/>
      <c r="EA40" s="30"/>
      <c r="EB40" s="30"/>
      <c r="EC40" s="30"/>
      <c r="ED40" s="30"/>
      <c r="EE40" s="30"/>
      <c r="EF40" s="30"/>
      <c r="EG40" s="30"/>
      <c r="EH40" s="30"/>
      <c r="EI40" s="30"/>
      <c r="EJ40" s="30"/>
      <c r="EK40" s="30"/>
      <c r="EL40" s="30"/>
      <c r="EM40" s="30"/>
      <c r="EN40" s="30"/>
      <c r="EO40" s="30"/>
      <c r="EP40" s="30"/>
      <c r="EQ40" s="30"/>
      <c r="ER40" s="30"/>
      <c r="ES40" s="30"/>
      <c r="ET40" s="30"/>
      <c r="EU40" s="30"/>
      <c r="EV40" s="30"/>
      <c r="EW40" s="30"/>
      <c r="EX40" s="30"/>
      <c r="EY40" s="30"/>
      <c r="EZ40" s="30"/>
      <c r="FA40" s="30"/>
      <c r="FB40" s="30"/>
      <c r="FC40" s="30"/>
      <c r="FD40" s="30"/>
      <c r="FE40" s="30"/>
      <c r="FF40" s="30"/>
      <c r="FG40" s="30"/>
      <c r="FH40" s="30"/>
      <c r="FI40" s="30"/>
      <c r="FJ40" s="30"/>
      <c r="FK40" s="30"/>
      <c r="FL40" s="30"/>
      <c r="FM40" s="30"/>
      <c r="FN40" s="30"/>
      <c r="FO40" s="30"/>
      <c r="FP40" s="30"/>
      <c r="FQ40" s="30"/>
      <c r="FR40" s="30"/>
      <c r="FS40" s="30"/>
      <c r="FT40" s="30"/>
      <c r="FU40" s="30"/>
      <c r="FV40" s="30"/>
      <c r="FW40" s="30"/>
      <c r="FX40" s="30"/>
      <c r="FY40" s="30"/>
      <c r="FZ40" s="30"/>
      <c r="GA40" s="30"/>
      <c r="GB40" s="30"/>
      <c r="GC40" s="30"/>
      <c r="GD40" s="30"/>
      <c r="GE40" s="30"/>
      <c r="GF40" s="30"/>
      <c r="GG40" s="30"/>
      <c r="GH40" s="30"/>
      <c r="GI40" s="30"/>
      <c r="GJ40" s="30"/>
      <c r="GK40" s="30"/>
      <c r="GL40" s="30"/>
      <c r="GM40" s="30"/>
      <c r="GN40" s="30"/>
      <c r="GO40" s="30"/>
      <c r="GP40" s="30"/>
    </row>
    <row r="41" spans="2:198" ht="13.8" thickBot="1" x14ac:dyDescent="0.3">
      <c r="B41" s="41" t="s">
        <v>158</v>
      </c>
      <c r="C41" s="42"/>
      <c r="D41" s="43"/>
      <c r="E41" s="43"/>
      <c r="F41" s="42"/>
      <c r="G41" s="43"/>
      <c r="H41" s="43"/>
      <c r="I41" s="42"/>
      <c r="J41" s="43"/>
      <c r="K41" s="44"/>
      <c r="L41" s="44"/>
      <c r="M41" s="44"/>
      <c r="N41" s="44"/>
      <c r="O41" s="44"/>
      <c r="P41" s="44"/>
      <c r="Q41" s="44"/>
      <c r="R41" s="44"/>
      <c r="S41" s="44"/>
      <c r="T41" s="45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0"/>
      <c r="AN41" s="30"/>
      <c r="AO41" s="30"/>
      <c r="AP41" s="30"/>
      <c r="AQ41" s="30"/>
      <c r="AR41" s="30"/>
      <c r="AS41" s="30"/>
      <c r="AT41" s="30"/>
      <c r="AU41" s="30"/>
      <c r="AV41" s="30"/>
      <c r="AW41" s="30"/>
      <c r="AX41" s="30"/>
      <c r="AY41" s="30"/>
      <c r="AZ41" s="30"/>
      <c r="BA41" s="30"/>
      <c r="BB41" s="30"/>
      <c r="BC41" s="30"/>
      <c r="BD41" s="30"/>
      <c r="BE41" s="30"/>
      <c r="BF41" s="30"/>
      <c r="BG41" s="30"/>
      <c r="BH41" s="30"/>
      <c r="BI41" s="30"/>
      <c r="BJ41" s="30"/>
      <c r="BK41" s="30"/>
      <c r="BL41" s="30"/>
      <c r="BM41" s="30"/>
      <c r="BN41" s="30"/>
      <c r="BO41" s="30"/>
      <c r="BP41" s="30"/>
      <c r="BQ41" s="30"/>
      <c r="BR41" s="30"/>
      <c r="BS41" s="30"/>
      <c r="BT41" s="30"/>
      <c r="BU41" s="30"/>
      <c r="BV41" s="30"/>
      <c r="BW41" s="30"/>
      <c r="BX41" s="30"/>
      <c r="BY41" s="30"/>
      <c r="BZ41" s="30"/>
      <c r="CA41" s="30"/>
      <c r="CB41" s="30"/>
      <c r="CC41" s="30"/>
      <c r="CD41" s="30"/>
      <c r="CE41" s="30"/>
      <c r="CF41" s="30"/>
      <c r="CG41" s="30"/>
      <c r="CH41" s="30"/>
      <c r="CI41" s="30"/>
      <c r="CJ41" s="30"/>
      <c r="CK41" s="30"/>
      <c r="CL41" s="30"/>
      <c r="CM41" s="30"/>
      <c r="CN41" s="30"/>
      <c r="CO41" s="30"/>
      <c r="CP41" s="30"/>
      <c r="CQ41" s="30"/>
      <c r="CR41" s="30"/>
      <c r="CS41" s="30"/>
      <c r="CT41" s="30"/>
      <c r="CU41" s="30"/>
      <c r="CV41" s="30"/>
      <c r="CW41" s="30"/>
      <c r="CX41" s="30"/>
      <c r="CY41" s="30"/>
      <c r="CZ41" s="30"/>
      <c r="DA41" s="30"/>
      <c r="DB41" s="30"/>
      <c r="DC41" s="30"/>
      <c r="DD41" s="30"/>
      <c r="DE41" s="30"/>
      <c r="DF41" s="30"/>
      <c r="DG41" s="30"/>
      <c r="DH41" s="30"/>
      <c r="DI41" s="30"/>
      <c r="DJ41" s="30"/>
      <c r="DK41" s="30"/>
      <c r="DL41" s="30"/>
      <c r="DM41" s="30"/>
      <c r="DN41" s="30"/>
      <c r="DO41" s="30"/>
      <c r="DP41" s="30"/>
      <c r="DQ41" s="30"/>
      <c r="DR41" s="30"/>
      <c r="DS41" s="30"/>
      <c r="DT41" s="30"/>
      <c r="DU41" s="30"/>
      <c r="DV41" s="30"/>
      <c r="DW41" s="30"/>
      <c r="DX41" s="30"/>
      <c r="DY41" s="30"/>
      <c r="DZ41" s="30"/>
      <c r="EA41" s="30"/>
      <c r="EB41" s="30"/>
      <c r="EC41" s="30"/>
      <c r="ED41" s="30"/>
      <c r="EE41" s="30"/>
      <c r="EF41" s="30"/>
      <c r="EG41" s="30"/>
      <c r="EH41" s="30"/>
      <c r="EI41" s="30"/>
      <c r="EJ41" s="30"/>
      <c r="EK41" s="30"/>
      <c r="EL41" s="30"/>
      <c r="EM41" s="30"/>
      <c r="EN41" s="30"/>
      <c r="EO41" s="30"/>
      <c r="EP41" s="30"/>
      <c r="EQ41" s="30"/>
      <c r="ER41" s="30"/>
      <c r="ES41" s="30"/>
      <c r="ET41" s="30"/>
      <c r="EU41" s="30"/>
      <c r="EV41" s="30"/>
      <c r="EW41" s="30"/>
      <c r="EX41" s="30"/>
      <c r="EY41" s="30"/>
      <c r="EZ41" s="30"/>
      <c r="FA41" s="30"/>
      <c r="FB41" s="30"/>
      <c r="FC41" s="30"/>
      <c r="FD41" s="30"/>
      <c r="FE41" s="30"/>
      <c r="FF41" s="30"/>
      <c r="FG41" s="30"/>
      <c r="FH41" s="30"/>
      <c r="FI41" s="30"/>
      <c r="FJ41" s="30"/>
      <c r="FK41" s="30"/>
      <c r="FL41" s="30"/>
      <c r="FM41" s="30"/>
      <c r="FN41" s="30"/>
      <c r="FO41" s="30"/>
      <c r="FP41" s="30"/>
      <c r="FQ41" s="30"/>
      <c r="FR41" s="30"/>
      <c r="FS41" s="30"/>
      <c r="FT41" s="30"/>
      <c r="FU41" s="30"/>
      <c r="FV41" s="30"/>
      <c r="FW41" s="30"/>
      <c r="FX41" s="30"/>
      <c r="FY41" s="30"/>
      <c r="FZ41" s="30"/>
      <c r="GA41" s="30"/>
      <c r="GB41" s="30"/>
      <c r="GC41" s="30"/>
      <c r="GD41" s="30"/>
      <c r="GE41" s="30"/>
      <c r="GF41" s="30"/>
      <c r="GG41" s="30"/>
      <c r="GH41" s="30"/>
      <c r="GI41" s="30"/>
      <c r="GJ41" s="30"/>
      <c r="GK41" s="30"/>
      <c r="GL41" s="30"/>
      <c r="GM41" s="30"/>
      <c r="GN41" s="30"/>
      <c r="GO41" s="30"/>
      <c r="GP41" s="30"/>
    </row>
    <row r="42" spans="2:198" ht="13.5" customHeight="1" thickBot="1" x14ac:dyDescent="0.3">
      <c r="B42" s="127" t="s">
        <v>140</v>
      </c>
      <c r="C42" s="127" t="s">
        <v>141</v>
      </c>
      <c r="D42" s="132" t="s">
        <v>142</v>
      </c>
      <c r="E42" s="133"/>
      <c r="F42" s="134"/>
      <c r="G42" s="127" t="s">
        <v>143</v>
      </c>
      <c r="H42" s="129" t="s">
        <v>118</v>
      </c>
      <c r="I42" s="130"/>
      <c r="J42" s="130"/>
      <c r="K42" s="130"/>
      <c r="L42" s="130"/>
      <c r="M42" s="130"/>
      <c r="N42" s="130"/>
      <c r="O42" s="131"/>
      <c r="P42" s="127" t="s">
        <v>144</v>
      </c>
      <c r="Q42" s="127" t="s">
        <v>145</v>
      </c>
      <c r="R42" s="127" t="s">
        <v>146</v>
      </c>
      <c r="S42" s="127" t="s">
        <v>147</v>
      </c>
      <c r="T42" s="127" t="s">
        <v>137</v>
      </c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0"/>
      <c r="BA42" s="30"/>
      <c r="BB42" s="30"/>
      <c r="BC42" s="30"/>
      <c r="BD42" s="30"/>
      <c r="BE42" s="30"/>
      <c r="BF42" s="30"/>
      <c r="BG42" s="30"/>
      <c r="BH42" s="30"/>
      <c r="BI42" s="30"/>
      <c r="BJ42" s="30"/>
      <c r="BK42" s="30"/>
      <c r="BL42" s="30"/>
      <c r="BM42" s="30"/>
      <c r="BN42" s="30"/>
      <c r="BO42" s="30"/>
      <c r="BP42" s="30"/>
      <c r="BQ42" s="30"/>
      <c r="BR42" s="30"/>
      <c r="BS42" s="30"/>
      <c r="BT42" s="30"/>
      <c r="BU42" s="30"/>
      <c r="BV42" s="30"/>
      <c r="BW42" s="30"/>
      <c r="BX42" s="30"/>
      <c r="BY42" s="30"/>
      <c r="BZ42" s="30"/>
      <c r="CA42" s="30"/>
      <c r="CB42" s="30"/>
      <c r="CC42" s="30"/>
      <c r="CD42" s="30"/>
      <c r="CE42" s="30"/>
      <c r="CF42" s="30"/>
      <c r="CG42" s="30"/>
      <c r="CH42" s="30"/>
      <c r="CI42" s="30"/>
      <c r="CJ42" s="30"/>
      <c r="CK42" s="30"/>
      <c r="CL42" s="30"/>
      <c r="CM42" s="30"/>
      <c r="CN42" s="30"/>
      <c r="CO42" s="30"/>
      <c r="CP42" s="30"/>
      <c r="CQ42" s="30"/>
      <c r="CR42" s="30"/>
      <c r="CS42" s="30"/>
      <c r="CT42" s="30"/>
      <c r="CU42" s="30"/>
      <c r="CV42" s="30"/>
      <c r="CW42" s="30"/>
      <c r="CX42" s="30"/>
      <c r="CY42" s="30"/>
      <c r="CZ42" s="30"/>
      <c r="DA42" s="30"/>
      <c r="DB42" s="30"/>
      <c r="DC42" s="30"/>
      <c r="DD42" s="30"/>
      <c r="DE42" s="30"/>
      <c r="DF42" s="30"/>
      <c r="DG42" s="30"/>
      <c r="DH42" s="30"/>
      <c r="DI42" s="30"/>
      <c r="DJ42" s="30"/>
      <c r="DK42" s="30"/>
      <c r="DL42" s="30"/>
      <c r="DM42" s="30"/>
      <c r="DN42" s="30"/>
      <c r="DO42" s="30"/>
      <c r="DP42" s="30"/>
      <c r="DQ42" s="30"/>
      <c r="DR42" s="30"/>
      <c r="DS42" s="30"/>
      <c r="DT42" s="30"/>
      <c r="DU42" s="30"/>
      <c r="DV42" s="30"/>
      <c r="DW42" s="30"/>
      <c r="DX42" s="30"/>
      <c r="DY42" s="30"/>
      <c r="DZ42" s="30"/>
      <c r="EA42" s="30"/>
      <c r="EB42" s="30"/>
      <c r="EC42" s="30"/>
      <c r="ED42" s="30"/>
      <c r="EE42" s="30"/>
      <c r="EF42" s="30"/>
      <c r="EG42" s="30"/>
      <c r="EH42" s="30"/>
      <c r="EI42" s="30"/>
      <c r="EJ42" s="30"/>
      <c r="EK42" s="30"/>
      <c r="EL42" s="30"/>
      <c r="EM42" s="30"/>
      <c r="EN42" s="30"/>
      <c r="EO42" s="30"/>
      <c r="EP42" s="30"/>
      <c r="EQ42" s="30"/>
      <c r="ER42" s="30"/>
      <c r="ES42" s="30"/>
      <c r="ET42" s="30"/>
      <c r="EU42" s="30"/>
      <c r="EV42" s="30"/>
      <c r="EW42" s="30"/>
      <c r="EX42" s="30"/>
      <c r="EY42" s="30"/>
      <c r="EZ42" s="30"/>
      <c r="FA42" s="30"/>
      <c r="FB42" s="30"/>
      <c r="FC42" s="30"/>
      <c r="FD42" s="30"/>
      <c r="FE42" s="30"/>
      <c r="FF42" s="30"/>
      <c r="FG42" s="30"/>
      <c r="FH42" s="30"/>
      <c r="FI42" s="30"/>
      <c r="FJ42" s="30"/>
      <c r="FK42" s="30"/>
      <c r="FL42" s="30"/>
      <c r="FM42" s="30"/>
      <c r="FN42" s="30"/>
      <c r="FO42" s="30"/>
      <c r="FP42" s="30"/>
      <c r="FQ42" s="30"/>
      <c r="FR42" s="30"/>
      <c r="FS42" s="30"/>
      <c r="FT42" s="30"/>
      <c r="FU42" s="30"/>
      <c r="FV42" s="30"/>
      <c r="FW42" s="30"/>
      <c r="FX42" s="30"/>
      <c r="FY42" s="30"/>
      <c r="FZ42" s="30"/>
      <c r="GA42" s="30"/>
      <c r="GB42" s="30"/>
      <c r="GC42" s="30"/>
      <c r="GD42" s="30"/>
      <c r="GE42" s="30"/>
      <c r="GF42" s="30"/>
      <c r="GG42" s="30"/>
      <c r="GH42" s="30"/>
      <c r="GI42" s="30"/>
      <c r="GJ42" s="30"/>
      <c r="GK42" s="30"/>
      <c r="GL42" s="30"/>
      <c r="GM42" s="30"/>
      <c r="GN42" s="30"/>
      <c r="GO42" s="30"/>
      <c r="GP42" s="30"/>
    </row>
    <row r="43" spans="2:198" ht="13.8" thickBot="1" x14ac:dyDescent="0.3">
      <c r="B43" s="128"/>
      <c r="C43" s="128"/>
      <c r="D43" s="9" t="s">
        <v>148</v>
      </c>
      <c r="E43" s="9" t="s">
        <v>149</v>
      </c>
      <c r="F43" s="9" t="s">
        <v>150</v>
      </c>
      <c r="G43" s="128"/>
      <c r="H43" s="129" t="s">
        <v>151</v>
      </c>
      <c r="I43" s="131"/>
      <c r="J43" s="129" t="s">
        <v>136</v>
      </c>
      <c r="K43" s="136"/>
      <c r="L43" s="135" t="s">
        <v>152</v>
      </c>
      <c r="M43" s="136"/>
      <c r="N43" s="129" t="s">
        <v>153</v>
      </c>
      <c r="O43" s="131"/>
      <c r="P43" s="128"/>
      <c r="Q43" s="128"/>
      <c r="R43" s="128"/>
      <c r="S43" s="128"/>
      <c r="T43" s="128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0"/>
      <c r="AN43" s="30"/>
      <c r="AO43" s="30"/>
      <c r="AP43" s="30"/>
      <c r="AQ43" s="30"/>
      <c r="AR43" s="30"/>
      <c r="AS43" s="30"/>
      <c r="AT43" s="30"/>
      <c r="AU43" s="30"/>
      <c r="AV43" s="30"/>
      <c r="AW43" s="30"/>
      <c r="AX43" s="30"/>
      <c r="AY43" s="30"/>
      <c r="AZ43" s="30"/>
      <c r="BA43" s="30"/>
      <c r="BB43" s="30"/>
      <c r="BC43" s="30"/>
      <c r="BD43" s="30"/>
      <c r="BE43" s="30"/>
      <c r="BF43" s="30"/>
      <c r="BG43" s="30"/>
      <c r="BH43" s="30"/>
      <c r="BI43" s="30"/>
      <c r="BJ43" s="30"/>
      <c r="BK43" s="30"/>
      <c r="BL43" s="30"/>
      <c r="BM43" s="30"/>
      <c r="BN43" s="30"/>
      <c r="BO43" s="30"/>
      <c r="BP43" s="30"/>
      <c r="BQ43" s="30"/>
      <c r="BR43" s="30"/>
      <c r="BS43" s="30"/>
      <c r="BT43" s="30"/>
      <c r="BU43" s="30"/>
      <c r="BV43" s="30"/>
      <c r="BW43" s="30"/>
      <c r="BX43" s="30"/>
      <c r="BY43" s="30"/>
      <c r="BZ43" s="30"/>
      <c r="CA43" s="30"/>
      <c r="CB43" s="30"/>
      <c r="CC43" s="30"/>
      <c r="CD43" s="30"/>
      <c r="CE43" s="30"/>
      <c r="CF43" s="30"/>
      <c r="CG43" s="30"/>
      <c r="CH43" s="30"/>
      <c r="CI43" s="30"/>
      <c r="CJ43" s="30"/>
      <c r="CK43" s="30"/>
      <c r="CL43" s="30"/>
      <c r="CM43" s="30"/>
      <c r="CN43" s="30"/>
      <c r="CO43" s="30"/>
      <c r="CP43" s="30"/>
      <c r="CQ43" s="30"/>
      <c r="CR43" s="30"/>
      <c r="CS43" s="30"/>
      <c r="CT43" s="30"/>
      <c r="CU43" s="30"/>
      <c r="CV43" s="30"/>
      <c r="CW43" s="30"/>
      <c r="CX43" s="30"/>
      <c r="CY43" s="30"/>
      <c r="CZ43" s="30"/>
      <c r="DA43" s="30"/>
      <c r="DB43" s="30"/>
      <c r="DC43" s="30"/>
      <c r="DD43" s="30"/>
      <c r="DE43" s="30"/>
      <c r="DF43" s="30"/>
      <c r="DG43" s="30"/>
      <c r="DH43" s="30"/>
      <c r="DI43" s="30"/>
      <c r="DJ43" s="30"/>
      <c r="DK43" s="30"/>
      <c r="DL43" s="30"/>
      <c r="DM43" s="30"/>
      <c r="DN43" s="30"/>
      <c r="DO43" s="30"/>
      <c r="DP43" s="30"/>
      <c r="DQ43" s="30"/>
      <c r="DR43" s="30"/>
      <c r="DS43" s="30"/>
      <c r="DT43" s="30"/>
      <c r="DU43" s="30"/>
      <c r="DV43" s="30"/>
      <c r="DW43" s="30"/>
      <c r="DX43" s="30"/>
      <c r="DY43" s="30"/>
      <c r="DZ43" s="30"/>
      <c r="EA43" s="30"/>
      <c r="EB43" s="30"/>
      <c r="EC43" s="30"/>
      <c r="ED43" s="30"/>
      <c r="EE43" s="30"/>
      <c r="EF43" s="30"/>
      <c r="EG43" s="30"/>
      <c r="EH43" s="30"/>
      <c r="EI43" s="30"/>
      <c r="EJ43" s="30"/>
      <c r="EK43" s="30"/>
      <c r="EL43" s="30"/>
      <c r="EM43" s="30"/>
      <c r="EN43" s="30"/>
      <c r="EO43" s="30"/>
      <c r="EP43" s="30"/>
      <c r="EQ43" s="30"/>
      <c r="ER43" s="30"/>
      <c r="ES43" s="30"/>
      <c r="ET43" s="30"/>
      <c r="EU43" s="30"/>
      <c r="EV43" s="30"/>
      <c r="EW43" s="30"/>
      <c r="EX43" s="30"/>
      <c r="EY43" s="30"/>
      <c r="EZ43" s="30"/>
      <c r="FA43" s="30"/>
      <c r="FB43" s="30"/>
      <c r="FC43" s="30"/>
      <c r="FD43" s="30"/>
      <c r="FE43" s="30"/>
      <c r="FF43" s="30"/>
      <c r="FG43" s="30"/>
      <c r="FH43" s="30"/>
      <c r="FI43" s="30"/>
      <c r="FJ43" s="30"/>
      <c r="FK43" s="30"/>
      <c r="FL43" s="30"/>
      <c r="FM43" s="30"/>
      <c r="FN43" s="30"/>
      <c r="FO43" s="30"/>
      <c r="FP43" s="30"/>
      <c r="FQ43" s="30"/>
      <c r="FR43" s="30"/>
      <c r="FS43" s="30"/>
      <c r="FT43" s="30"/>
      <c r="FU43" s="30"/>
      <c r="FV43" s="30"/>
      <c r="FW43" s="30"/>
      <c r="FX43" s="30"/>
      <c r="FY43" s="30"/>
      <c r="FZ43" s="30"/>
      <c r="GA43" s="30"/>
      <c r="GB43" s="30"/>
      <c r="GC43" s="30"/>
      <c r="GD43" s="30"/>
      <c r="GE43" s="30"/>
      <c r="GF43" s="30"/>
      <c r="GG43" s="30"/>
      <c r="GH43" s="30"/>
      <c r="GI43" s="30"/>
      <c r="GJ43" s="30"/>
      <c r="GK43" s="30"/>
      <c r="GL43" s="30"/>
      <c r="GM43" s="30"/>
      <c r="GN43" s="30"/>
      <c r="GO43" s="30"/>
      <c r="GP43" s="30"/>
    </row>
    <row r="44" spans="2:198" s="7" customFormat="1" x14ac:dyDescent="0.25">
      <c r="B44" s="22" t="e">
        <f>IF(#REF!=0,"",#REF!)</f>
        <v>#REF!</v>
      </c>
      <c r="C44" s="17" t="e">
        <f>IF(COUNTIF(#REF!,"OK")+COUNTIF(#REF!,"NOK")+COUNTIF(#REF!,"PDTE")+COUNTIF(#REF!,"N/A")=0,"",COUNTIF(#REF!,"OK")+COUNTIF(#REF!,"NOK")+COUNTIF(#REF!,"PDTE")+COUNTIF(#REF!,"N/A"))</f>
        <v>#REF!</v>
      </c>
      <c r="D44" s="10"/>
      <c r="E44" s="10"/>
      <c r="F44" s="10"/>
      <c r="G44" s="17" t="e">
        <f>IF(COUNTIF(#REF!,"N/A")=0,"",COUNTIF(#REF!,"N/A"))</f>
        <v>#REF!</v>
      </c>
      <c r="H44" s="17" t="e">
        <f>IF(COUNTIF(#REF!,"OK")+COUNTIF(#REF!,"NOK")=0,"",COUNTIF(#REF!,"OK")+COUNTIF(#REF!,"NOK"))</f>
        <v>#REF!</v>
      </c>
      <c r="I44" s="5" t="e">
        <f>IF(OR(C44=" ",OR(H44="",H44=0)),"",H44/C44)</f>
        <v>#REF!</v>
      </c>
      <c r="J44" s="23" t="e">
        <f>IF(COUNTIF(#REF!,"OK")=0,"",COUNTIF(#REF!,"OK"))</f>
        <v>#REF!</v>
      </c>
      <c r="K44" s="5" t="e">
        <f>IF(OR(C44=" ",OR(J44="",J44=0)),"",J44/C44)</f>
        <v>#REF!</v>
      </c>
      <c r="L44" s="23" t="e">
        <f>IF(COUNTIF(#REF!,"NOK")=0,"",COUNTIF(#REF!,"NOK"))</f>
        <v>#REF!</v>
      </c>
      <c r="M44" s="5" t="e">
        <f>IF(OR(C44=" ",OR(L44="",L44=0)),"",L44/C44)</f>
        <v>#REF!</v>
      </c>
      <c r="N44" s="23" t="e">
        <f>IF(COUNTIF(#REF!,"PDTE")=0,"",COUNTIF(#REF!,"PDTE"))</f>
        <v>#REF!</v>
      </c>
      <c r="O44" s="5" t="e">
        <f>IF(OR(C44=" ",OR(N44="",N44=0)),"",N44/C44)</f>
        <v>#REF!</v>
      </c>
      <c r="P44" s="5" t="e">
        <f>IF(OR(H44=0,H44=""),"",SUM(J44)/H44)</f>
        <v>#REF!</v>
      </c>
      <c r="Q44" s="5" t="e">
        <f>IF(OR(H44=0,H44=""),"",SUM(D44:F44)/H44)</f>
        <v>#REF!</v>
      </c>
      <c r="R44" s="5" t="e">
        <f>IF(Q44="","",1-Q44)</f>
        <v>#REF!</v>
      </c>
      <c r="S44" s="5" t="e">
        <f>IF(OR(I44="",I44=0),"",I44)</f>
        <v>#REF!</v>
      </c>
      <c r="T44" s="24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  <c r="AH44" s="39"/>
      <c r="AI44" s="39"/>
      <c r="AJ44" s="39"/>
      <c r="AK44" s="39"/>
      <c r="AL44" s="39"/>
      <c r="AM44" s="39"/>
      <c r="AN44" s="39"/>
      <c r="AO44" s="39"/>
      <c r="AP44" s="39"/>
      <c r="AQ44" s="39"/>
      <c r="AR44" s="39"/>
      <c r="AS44" s="39"/>
      <c r="AT44" s="39"/>
      <c r="AU44" s="39"/>
      <c r="AV44" s="39"/>
      <c r="AW44" s="39"/>
      <c r="AX44" s="39"/>
      <c r="AY44" s="39"/>
      <c r="AZ44" s="39"/>
      <c r="BA44" s="39"/>
      <c r="BB44" s="39"/>
      <c r="BC44" s="39"/>
      <c r="BD44" s="39"/>
      <c r="BE44" s="39"/>
      <c r="BF44" s="39"/>
      <c r="BG44" s="39"/>
      <c r="BH44" s="39"/>
      <c r="BI44" s="39"/>
      <c r="BJ44" s="39"/>
      <c r="BK44" s="39"/>
      <c r="BL44" s="39"/>
      <c r="BM44" s="39"/>
      <c r="BN44" s="39"/>
      <c r="BO44" s="39"/>
      <c r="BP44" s="39"/>
      <c r="BQ44" s="39"/>
      <c r="BR44" s="39"/>
      <c r="BS44" s="39"/>
      <c r="BT44" s="39"/>
      <c r="BU44" s="39"/>
      <c r="BV44" s="39"/>
      <c r="BW44" s="39"/>
      <c r="BX44" s="39"/>
      <c r="BY44" s="39"/>
      <c r="BZ44" s="39"/>
      <c r="CA44" s="39"/>
      <c r="CB44" s="39"/>
      <c r="CC44" s="39"/>
      <c r="CD44" s="39"/>
      <c r="CE44" s="39"/>
      <c r="CF44" s="39"/>
      <c r="CG44" s="39"/>
      <c r="CH44" s="39"/>
      <c r="CI44" s="39"/>
      <c r="CJ44" s="39"/>
      <c r="CK44" s="39"/>
      <c r="CL44" s="39"/>
      <c r="CM44" s="39"/>
      <c r="CN44" s="39"/>
      <c r="CO44" s="39"/>
      <c r="CP44" s="39"/>
      <c r="CQ44" s="39"/>
      <c r="CR44" s="39"/>
      <c r="CS44" s="39"/>
      <c r="CT44" s="39"/>
      <c r="CU44" s="39"/>
      <c r="CV44" s="39"/>
      <c r="CW44" s="39"/>
      <c r="CX44" s="39"/>
      <c r="CY44" s="39"/>
      <c r="CZ44" s="39"/>
      <c r="DA44" s="39"/>
      <c r="DB44" s="39"/>
      <c r="DC44" s="39"/>
      <c r="DD44" s="39"/>
      <c r="DE44" s="39"/>
      <c r="DF44" s="39"/>
      <c r="DG44" s="39"/>
      <c r="DH44" s="39"/>
      <c r="DI44" s="39"/>
      <c r="DJ44" s="39"/>
      <c r="DK44" s="39"/>
      <c r="DL44" s="39"/>
      <c r="DM44" s="39"/>
      <c r="DN44" s="39"/>
      <c r="DO44" s="39"/>
      <c r="DP44" s="39"/>
      <c r="DQ44" s="39"/>
      <c r="DR44" s="39"/>
      <c r="DS44" s="39"/>
      <c r="DT44" s="39"/>
      <c r="DU44" s="39"/>
      <c r="DV44" s="39"/>
      <c r="DW44" s="39"/>
      <c r="DX44" s="39"/>
      <c r="DY44" s="39"/>
      <c r="DZ44" s="39"/>
      <c r="EA44" s="39"/>
      <c r="EB44" s="39"/>
      <c r="EC44" s="39"/>
      <c r="ED44" s="39"/>
      <c r="EE44" s="39"/>
      <c r="EF44" s="39"/>
      <c r="EG44" s="39"/>
      <c r="EH44" s="39"/>
      <c r="EI44" s="39"/>
      <c r="EJ44" s="39"/>
      <c r="EK44" s="39"/>
      <c r="EL44" s="39"/>
      <c r="EM44" s="39"/>
      <c r="EN44" s="39"/>
      <c r="EO44" s="39"/>
      <c r="EP44" s="39"/>
      <c r="EQ44" s="39"/>
      <c r="ER44" s="39"/>
      <c r="ES44" s="39"/>
      <c r="ET44" s="39"/>
      <c r="EU44" s="39"/>
      <c r="EV44" s="39"/>
      <c r="EW44" s="39"/>
      <c r="EX44" s="39"/>
      <c r="EY44" s="39"/>
      <c r="EZ44" s="39"/>
      <c r="FA44" s="39"/>
      <c r="FB44" s="39"/>
      <c r="FC44" s="39"/>
      <c r="FD44" s="39"/>
      <c r="FE44" s="39"/>
      <c r="FF44" s="39"/>
      <c r="FG44" s="39"/>
      <c r="FH44" s="39"/>
      <c r="FI44" s="39"/>
      <c r="FJ44" s="39"/>
      <c r="FK44" s="39"/>
      <c r="FL44" s="39"/>
      <c r="FM44" s="39"/>
      <c r="FN44" s="39"/>
      <c r="FO44" s="39"/>
      <c r="FP44" s="39"/>
      <c r="FQ44" s="39"/>
      <c r="FR44" s="39"/>
      <c r="FS44" s="39"/>
      <c r="FT44" s="39"/>
      <c r="FU44" s="39"/>
      <c r="FV44" s="39"/>
      <c r="FW44" s="39"/>
      <c r="FX44" s="39"/>
      <c r="FY44" s="39"/>
      <c r="FZ44" s="39"/>
      <c r="GA44" s="39"/>
      <c r="GB44" s="39"/>
      <c r="GC44" s="39"/>
      <c r="GD44" s="39"/>
      <c r="GE44" s="39"/>
      <c r="GF44" s="39"/>
      <c r="GG44" s="39"/>
      <c r="GH44" s="39"/>
      <c r="GI44" s="39"/>
      <c r="GJ44" s="39"/>
      <c r="GK44" s="39"/>
      <c r="GL44" s="39"/>
      <c r="GM44" s="39"/>
      <c r="GN44" s="39"/>
      <c r="GO44" s="39"/>
      <c r="GP44" s="39"/>
    </row>
    <row r="45" spans="2:198" s="7" customFormat="1" x14ac:dyDescent="0.25">
      <c r="B45" s="2"/>
      <c r="C45" s="4"/>
      <c r="D45" s="4"/>
      <c r="E45" s="4"/>
      <c r="F45" s="4"/>
      <c r="G45" s="4"/>
      <c r="H45" s="4"/>
      <c r="I45" s="5" t="str">
        <f>IF(OR(C45=" ",OR(H45="",H45=0)),"",H45/C45)</f>
        <v/>
      </c>
      <c r="J45" s="12"/>
      <c r="K45" s="5" t="str">
        <f>IF(OR(C45=" ",OR(J45="",J45=0)),"",J45/C45)</f>
        <v/>
      </c>
      <c r="L45" s="12"/>
      <c r="M45" s="5" t="str">
        <f>IF(OR(C45=" ",OR(L45="",L45=0)),"",L45/C45)</f>
        <v/>
      </c>
      <c r="N45" s="11"/>
      <c r="O45" s="6" t="str">
        <f>IF(OR(C45=" ",OR(N45="",N45=0)),"",N45/C45)</f>
        <v/>
      </c>
      <c r="P45" s="6" t="str">
        <f>IF(OR(H45=0,H45=""),"",J45/H45)</f>
        <v/>
      </c>
      <c r="Q45" s="6" t="str">
        <f>IF(OR(H45=0,H45=""),"",SUM(D45:E45)/H45)</f>
        <v/>
      </c>
      <c r="R45" s="6" t="str">
        <f>IF(Q45="","",1-Q45)</f>
        <v/>
      </c>
      <c r="S45" s="6" t="str">
        <f>IF(OR(I45="",I45=0),"",I45)</f>
        <v/>
      </c>
      <c r="T45" s="13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  <c r="AF45" s="39"/>
      <c r="AG45" s="39"/>
      <c r="AH45" s="39"/>
      <c r="AI45" s="39"/>
      <c r="AJ45" s="39"/>
      <c r="AK45" s="39"/>
      <c r="AL45" s="39"/>
      <c r="AM45" s="39"/>
      <c r="AN45" s="39"/>
      <c r="AO45" s="39"/>
      <c r="AP45" s="39"/>
      <c r="AQ45" s="39"/>
      <c r="AR45" s="39"/>
      <c r="AS45" s="39"/>
      <c r="AT45" s="39"/>
      <c r="AU45" s="39"/>
      <c r="AV45" s="39"/>
      <c r="AW45" s="39"/>
      <c r="AX45" s="39"/>
      <c r="AY45" s="39"/>
      <c r="AZ45" s="39"/>
      <c r="BA45" s="39"/>
      <c r="BB45" s="39"/>
      <c r="BC45" s="39"/>
      <c r="BD45" s="39"/>
      <c r="BE45" s="39"/>
      <c r="BF45" s="39"/>
      <c r="BG45" s="39"/>
      <c r="BH45" s="39"/>
      <c r="BI45" s="39"/>
      <c r="BJ45" s="39"/>
      <c r="BK45" s="39"/>
      <c r="BL45" s="39"/>
      <c r="BM45" s="39"/>
      <c r="BN45" s="39"/>
      <c r="BO45" s="39"/>
      <c r="BP45" s="39"/>
      <c r="BQ45" s="39"/>
      <c r="BR45" s="39"/>
      <c r="BS45" s="39"/>
      <c r="BT45" s="39"/>
      <c r="BU45" s="39"/>
      <c r="BV45" s="39"/>
      <c r="BW45" s="39"/>
      <c r="BX45" s="39"/>
      <c r="BY45" s="39"/>
      <c r="BZ45" s="39"/>
      <c r="CA45" s="39"/>
      <c r="CB45" s="39"/>
      <c r="CC45" s="39"/>
      <c r="CD45" s="39"/>
      <c r="CE45" s="39"/>
      <c r="CF45" s="39"/>
      <c r="CG45" s="39"/>
      <c r="CH45" s="39"/>
      <c r="CI45" s="39"/>
      <c r="CJ45" s="39"/>
      <c r="CK45" s="39"/>
      <c r="CL45" s="39"/>
      <c r="CM45" s="39"/>
      <c r="CN45" s="39"/>
      <c r="CO45" s="39"/>
      <c r="CP45" s="39"/>
      <c r="CQ45" s="39"/>
      <c r="CR45" s="39"/>
      <c r="CS45" s="39"/>
      <c r="CT45" s="39"/>
      <c r="CU45" s="39"/>
      <c r="CV45" s="39"/>
      <c r="CW45" s="39"/>
      <c r="CX45" s="39"/>
      <c r="CY45" s="39"/>
      <c r="CZ45" s="39"/>
      <c r="DA45" s="39"/>
      <c r="DB45" s="39"/>
      <c r="DC45" s="39"/>
      <c r="DD45" s="39"/>
      <c r="DE45" s="39"/>
      <c r="DF45" s="39"/>
      <c r="DG45" s="39"/>
      <c r="DH45" s="39"/>
      <c r="DI45" s="39"/>
      <c r="DJ45" s="39"/>
      <c r="DK45" s="39"/>
      <c r="DL45" s="39"/>
      <c r="DM45" s="39"/>
      <c r="DN45" s="39"/>
      <c r="DO45" s="39"/>
      <c r="DP45" s="39"/>
      <c r="DQ45" s="39"/>
      <c r="DR45" s="39"/>
      <c r="DS45" s="39"/>
      <c r="DT45" s="39"/>
      <c r="DU45" s="39"/>
      <c r="DV45" s="39"/>
      <c r="DW45" s="39"/>
      <c r="DX45" s="39"/>
      <c r="DY45" s="39"/>
      <c r="DZ45" s="39"/>
      <c r="EA45" s="39"/>
      <c r="EB45" s="39"/>
      <c r="EC45" s="39"/>
      <c r="ED45" s="39"/>
      <c r="EE45" s="39"/>
      <c r="EF45" s="39"/>
      <c r="EG45" s="39"/>
      <c r="EH45" s="39"/>
      <c r="EI45" s="39"/>
      <c r="EJ45" s="39"/>
      <c r="EK45" s="39"/>
      <c r="EL45" s="39"/>
      <c r="EM45" s="39"/>
      <c r="EN45" s="39"/>
      <c r="EO45" s="39"/>
      <c r="EP45" s="39"/>
      <c r="EQ45" s="39"/>
      <c r="ER45" s="39"/>
      <c r="ES45" s="39"/>
      <c r="ET45" s="39"/>
      <c r="EU45" s="39"/>
      <c r="EV45" s="39"/>
      <c r="EW45" s="39"/>
      <c r="EX45" s="39"/>
      <c r="EY45" s="39"/>
      <c r="EZ45" s="39"/>
      <c r="FA45" s="39"/>
      <c r="FB45" s="39"/>
      <c r="FC45" s="39"/>
      <c r="FD45" s="39"/>
      <c r="FE45" s="39"/>
      <c r="FF45" s="39"/>
      <c r="FG45" s="39"/>
      <c r="FH45" s="39"/>
      <c r="FI45" s="39"/>
      <c r="FJ45" s="39"/>
      <c r="FK45" s="39"/>
      <c r="FL45" s="39"/>
      <c r="FM45" s="39"/>
      <c r="FN45" s="39"/>
      <c r="FO45" s="39"/>
      <c r="FP45" s="39"/>
      <c r="FQ45" s="39"/>
      <c r="FR45" s="39"/>
      <c r="FS45" s="39"/>
      <c r="FT45" s="39"/>
      <c r="FU45" s="39"/>
      <c r="FV45" s="39"/>
      <c r="FW45" s="39"/>
      <c r="FX45" s="39"/>
      <c r="FY45" s="39"/>
      <c r="FZ45" s="39"/>
      <c r="GA45" s="39"/>
      <c r="GB45" s="39"/>
      <c r="GC45" s="39"/>
      <c r="GD45" s="39"/>
      <c r="GE45" s="39"/>
      <c r="GF45" s="39"/>
      <c r="GG45" s="39"/>
      <c r="GH45" s="39"/>
      <c r="GI45" s="39"/>
      <c r="GJ45" s="39"/>
      <c r="GK45" s="39"/>
      <c r="GL45" s="39"/>
      <c r="GM45" s="39"/>
      <c r="GN45" s="39"/>
      <c r="GO45" s="39"/>
      <c r="GP45" s="39"/>
    </row>
    <row r="46" spans="2:198" s="7" customFormat="1" x14ac:dyDescent="0.25">
      <c r="B46" s="2"/>
      <c r="C46" s="4"/>
      <c r="D46" s="4"/>
      <c r="E46" s="4"/>
      <c r="F46" s="4"/>
      <c r="G46" s="4"/>
      <c r="H46" s="4"/>
      <c r="I46" s="5" t="str">
        <f>IF(OR(C46=" ",OR(H46="",H46=0)),"",H46/C46)</f>
        <v/>
      </c>
      <c r="J46" s="12"/>
      <c r="K46" s="5" t="str">
        <f>IF(OR(C46=" ",OR(J46="",J46=0)),"",J46/C46)</f>
        <v/>
      </c>
      <c r="L46" s="12"/>
      <c r="M46" s="5" t="str">
        <f>IF(OR(C46=" ",OR(L46="",L46=0)),"",L46/C46)</f>
        <v/>
      </c>
      <c r="N46" s="11"/>
      <c r="O46" s="6" t="str">
        <f>IF(OR(C46=" ",OR(N46="",N46=0)),"",N46/C46)</f>
        <v/>
      </c>
      <c r="P46" s="6" t="str">
        <f>IF(OR(H46=0,H46=""),"",J46/H46)</f>
        <v/>
      </c>
      <c r="Q46" s="6" t="str">
        <f>IF(OR(H46=0,H46=""),"",SUM(D46:E46)/H46)</f>
        <v/>
      </c>
      <c r="R46" s="6" t="str">
        <f>IF(Q46="","",1-Q46)</f>
        <v/>
      </c>
      <c r="S46" s="6" t="str">
        <f>IF(OR(I46="",I46=0),"",I46)</f>
        <v/>
      </c>
      <c r="T46" s="13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  <c r="AF46" s="39"/>
      <c r="AG46" s="39"/>
      <c r="AH46" s="39"/>
      <c r="AI46" s="39"/>
      <c r="AJ46" s="39"/>
      <c r="AK46" s="39"/>
      <c r="AL46" s="39"/>
      <c r="AM46" s="39"/>
      <c r="AN46" s="39"/>
      <c r="AO46" s="39"/>
      <c r="AP46" s="39"/>
      <c r="AQ46" s="39"/>
      <c r="AR46" s="39"/>
      <c r="AS46" s="39"/>
      <c r="AT46" s="39"/>
      <c r="AU46" s="39"/>
      <c r="AV46" s="39"/>
      <c r="AW46" s="39"/>
      <c r="AX46" s="39"/>
      <c r="AY46" s="39"/>
      <c r="AZ46" s="39"/>
      <c r="BA46" s="39"/>
      <c r="BB46" s="39"/>
      <c r="BC46" s="39"/>
      <c r="BD46" s="39"/>
      <c r="BE46" s="39"/>
      <c r="BF46" s="39"/>
      <c r="BG46" s="39"/>
      <c r="BH46" s="39"/>
      <c r="BI46" s="39"/>
      <c r="BJ46" s="39"/>
      <c r="BK46" s="39"/>
      <c r="BL46" s="39"/>
      <c r="BM46" s="39"/>
      <c r="BN46" s="39"/>
      <c r="BO46" s="39"/>
      <c r="BP46" s="39"/>
      <c r="BQ46" s="39"/>
      <c r="BR46" s="39"/>
      <c r="BS46" s="39"/>
      <c r="BT46" s="39"/>
      <c r="BU46" s="39"/>
      <c r="BV46" s="39"/>
      <c r="BW46" s="39"/>
      <c r="BX46" s="39"/>
      <c r="BY46" s="39"/>
      <c r="BZ46" s="39"/>
      <c r="CA46" s="39"/>
      <c r="CB46" s="39"/>
      <c r="CC46" s="39"/>
      <c r="CD46" s="39"/>
      <c r="CE46" s="39"/>
      <c r="CF46" s="39"/>
      <c r="CG46" s="39"/>
      <c r="CH46" s="39"/>
      <c r="CI46" s="39"/>
      <c r="CJ46" s="39"/>
      <c r="CK46" s="39"/>
      <c r="CL46" s="39"/>
      <c r="CM46" s="39"/>
      <c r="CN46" s="39"/>
      <c r="CO46" s="39"/>
      <c r="CP46" s="39"/>
      <c r="CQ46" s="39"/>
      <c r="CR46" s="39"/>
      <c r="CS46" s="39"/>
      <c r="CT46" s="39"/>
      <c r="CU46" s="39"/>
      <c r="CV46" s="39"/>
      <c r="CW46" s="39"/>
      <c r="CX46" s="39"/>
      <c r="CY46" s="39"/>
      <c r="CZ46" s="39"/>
      <c r="DA46" s="39"/>
      <c r="DB46" s="39"/>
      <c r="DC46" s="39"/>
      <c r="DD46" s="39"/>
      <c r="DE46" s="39"/>
      <c r="DF46" s="39"/>
      <c r="DG46" s="39"/>
      <c r="DH46" s="39"/>
      <c r="DI46" s="39"/>
      <c r="DJ46" s="39"/>
      <c r="DK46" s="39"/>
      <c r="DL46" s="39"/>
      <c r="DM46" s="39"/>
      <c r="DN46" s="39"/>
      <c r="DO46" s="39"/>
      <c r="DP46" s="39"/>
      <c r="DQ46" s="39"/>
      <c r="DR46" s="39"/>
      <c r="DS46" s="39"/>
      <c r="DT46" s="39"/>
      <c r="DU46" s="39"/>
      <c r="DV46" s="39"/>
      <c r="DW46" s="39"/>
      <c r="DX46" s="39"/>
      <c r="DY46" s="39"/>
      <c r="DZ46" s="39"/>
      <c r="EA46" s="39"/>
      <c r="EB46" s="39"/>
      <c r="EC46" s="39"/>
      <c r="ED46" s="39"/>
      <c r="EE46" s="39"/>
      <c r="EF46" s="39"/>
      <c r="EG46" s="39"/>
      <c r="EH46" s="39"/>
      <c r="EI46" s="39"/>
      <c r="EJ46" s="39"/>
      <c r="EK46" s="39"/>
      <c r="EL46" s="39"/>
      <c r="EM46" s="39"/>
      <c r="EN46" s="39"/>
      <c r="EO46" s="39"/>
      <c r="EP46" s="39"/>
      <c r="EQ46" s="39"/>
      <c r="ER46" s="39"/>
      <c r="ES46" s="39"/>
      <c r="ET46" s="39"/>
      <c r="EU46" s="39"/>
      <c r="EV46" s="39"/>
      <c r="EW46" s="39"/>
      <c r="EX46" s="39"/>
      <c r="EY46" s="39"/>
      <c r="EZ46" s="39"/>
      <c r="FA46" s="39"/>
      <c r="FB46" s="39"/>
      <c r="FC46" s="39"/>
      <c r="FD46" s="39"/>
      <c r="FE46" s="39"/>
      <c r="FF46" s="39"/>
      <c r="FG46" s="39"/>
      <c r="FH46" s="39"/>
      <c r="FI46" s="39"/>
      <c r="FJ46" s="39"/>
      <c r="FK46" s="39"/>
      <c r="FL46" s="39"/>
      <c r="FM46" s="39"/>
      <c r="FN46" s="39"/>
      <c r="FO46" s="39"/>
      <c r="FP46" s="39"/>
      <c r="FQ46" s="39"/>
      <c r="FR46" s="39"/>
      <c r="FS46" s="39"/>
      <c r="FT46" s="39"/>
      <c r="FU46" s="39"/>
      <c r="FV46" s="39"/>
      <c r="FW46" s="39"/>
      <c r="FX46" s="39"/>
      <c r="FY46" s="39"/>
      <c r="FZ46" s="39"/>
      <c r="GA46" s="39"/>
      <c r="GB46" s="39"/>
      <c r="GC46" s="39"/>
      <c r="GD46" s="39"/>
      <c r="GE46" s="39"/>
      <c r="GF46" s="39"/>
      <c r="GG46" s="39"/>
      <c r="GH46" s="39"/>
      <c r="GI46" s="39"/>
      <c r="GJ46" s="39"/>
      <c r="GK46" s="39"/>
      <c r="GL46" s="39"/>
      <c r="GM46" s="39"/>
      <c r="GN46" s="39"/>
      <c r="GO46" s="39"/>
      <c r="GP46" s="39"/>
    </row>
    <row r="47" spans="2:198" ht="14.4" thickBot="1" x14ac:dyDescent="0.3">
      <c r="B47" s="14" t="s">
        <v>154</v>
      </c>
      <c r="C47" s="15" t="e">
        <f t="shared" ref="C47:H47" si="4">IF(OR(C44=0,C44=""),"",SUM(C44:C46))</f>
        <v>#REF!</v>
      </c>
      <c r="D47" s="15" t="str">
        <f t="shared" si="4"/>
        <v/>
      </c>
      <c r="E47" s="15" t="str">
        <f t="shared" si="4"/>
        <v/>
      </c>
      <c r="F47" s="15" t="str">
        <f t="shared" si="4"/>
        <v/>
      </c>
      <c r="G47" s="15" t="e">
        <f t="shared" si="4"/>
        <v>#REF!</v>
      </c>
      <c r="H47" s="15" t="e">
        <f t="shared" si="4"/>
        <v>#REF!</v>
      </c>
      <c r="I47" s="1" t="e">
        <f>IF(OR(H47=0,H47=""),"",AVERAGE(I44:I46))</f>
        <v>#REF!</v>
      </c>
      <c r="J47" s="15" t="e">
        <f>IF(OR(J44=0,J44=""),"",SUM(J44:J46))</f>
        <v>#REF!</v>
      </c>
      <c r="K47" s="1" t="e">
        <f>IF(OR(J47=0,J47=""),"",AVERAGE(K44:K46))</f>
        <v>#REF!</v>
      </c>
      <c r="L47" s="15" t="e">
        <f>IF(OR(L44=0,L44=""),"",SUM(L44:L46))</f>
        <v>#REF!</v>
      </c>
      <c r="M47" s="1" t="e">
        <f>IF(OR(L47=0,L47=""),"",AVERAGE(M44:M46))</f>
        <v>#REF!</v>
      </c>
      <c r="N47" s="15" t="e">
        <f>IF(OR(N44=0,N44=""),"",SUM(N44:N46))</f>
        <v>#REF!</v>
      </c>
      <c r="O47" s="1" t="e">
        <f>IF(OR(N47=0,N47=""),"",AVERAGE(O44:O46))</f>
        <v>#REF!</v>
      </c>
      <c r="P47" s="1" t="e">
        <f>IF(OR(P44=""),"",AVERAGE(P44:P46))</f>
        <v>#REF!</v>
      </c>
      <c r="Q47" s="1" t="e">
        <f>IF(OR(Q44=""),"",AVERAGE(Q44:Q46))</f>
        <v>#REF!</v>
      </c>
      <c r="R47" s="1" t="e">
        <f>IF(OR(R44=0,R44=""),"",AVERAGE(R44:R46))</f>
        <v>#REF!</v>
      </c>
      <c r="S47" s="1" t="e">
        <f>IF(OR(S44=0,S44=""),"",AVERAGE(S44:S46))</f>
        <v>#REF!</v>
      </c>
      <c r="T47" s="25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L47" s="30"/>
      <c r="AM47" s="30"/>
      <c r="AN47" s="30"/>
      <c r="AO47" s="30"/>
      <c r="AP47" s="30"/>
      <c r="AQ47" s="30"/>
      <c r="AR47" s="30"/>
      <c r="AS47" s="30"/>
      <c r="AT47" s="30"/>
      <c r="AU47" s="30"/>
      <c r="AV47" s="30"/>
      <c r="AW47" s="30"/>
      <c r="AX47" s="30"/>
      <c r="AY47" s="30"/>
      <c r="AZ47" s="30"/>
      <c r="BA47" s="30"/>
      <c r="BB47" s="30"/>
      <c r="BC47" s="30"/>
      <c r="BD47" s="30"/>
      <c r="BE47" s="30"/>
      <c r="BF47" s="30"/>
      <c r="BG47" s="30"/>
      <c r="BH47" s="30"/>
      <c r="BI47" s="30"/>
      <c r="BJ47" s="30"/>
      <c r="BK47" s="30"/>
      <c r="BL47" s="30"/>
      <c r="BM47" s="30"/>
      <c r="BN47" s="30"/>
      <c r="BO47" s="30"/>
      <c r="BP47" s="30"/>
      <c r="BQ47" s="30"/>
      <c r="BR47" s="30"/>
      <c r="BS47" s="30"/>
      <c r="BT47" s="30"/>
      <c r="BU47" s="30"/>
      <c r="BV47" s="30"/>
      <c r="BW47" s="30"/>
      <c r="BX47" s="30"/>
      <c r="BY47" s="30"/>
      <c r="BZ47" s="30"/>
      <c r="CA47" s="30"/>
      <c r="CB47" s="30"/>
      <c r="CC47" s="30"/>
      <c r="CD47" s="30"/>
      <c r="CE47" s="30"/>
      <c r="CF47" s="30"/>
      <c r="CG47" s="30"/>
      <c r="CH47" s="30"/>
      <c r="CI47" s="30"/>
      <c r="CJ47" s="30"/>
      <c r="CK47" s="30"/>
      <c r="CL47" s="30"/>
      <c r="CM47" s="30"/>
      <c r="CN47" s="30"/>
      <c r="CO47" s="30"/>
      <c r="CP47" s="30"/>
      <c r="CQ47" s="30"/>
      <c r="CR47" s="30"/>
      <c r="CS47" s="30"/>
      <c r="CT47" s="30"/>
      <c r="CU47" s="30"/>
      <c r="CV47" s="30"/>
      <c r="CW47" s="30"/>
      <c r="CX47" s="30"/>
      <c r="CY47" s="30"/>
      <c r="CZ47" s="30"/>
      <c r="DA47" s="30"/>
      <c r="DB47" s="30"/>
      <c r="DC47" s="30"/>
      <c r="DD47" s="30"/>
      <c r="DE47" s="30"/>
      <c r="DF47" s="30"/>
      <c r="DG47" s="30"/>
      <c r="DH47" s="30"/>
      <c r="DI47" s="30"/>
      <c r="DJ47" s="30"/>
      <c r="DK47" s="30"/>
      <c r="DL47" s="30"/>
      <c r="DM47" s="30"/>
      <c r="DN47" s="30"/>
      <c r="DO47" s="30"/>
      <c r="DP47" s="30"/>
      <c r="DQ47" s="30"/>
      <c r="DR47" s="30"/>
      <c r="DS47" s="30"/>
      <c r="DT47" s="30"/>
      <c r="DU47" s="30"/>
      <c r="DV47" s="30"/>
      <c r="DW47" s="30"/>
      <c r="DX47" s="30"/>
      <c r="DY47" s="30"/>
      <c r="DZ47" s="30"/>
      <c r="EA47" s="30"/>
      <c r="EB47" s="30"/>
      <c r="EC47" s="30"/>
      <c r="ED47" s="30"/>
      <c r="EE47" s="30"/>
      <c r="EF47" s="30"/>
      <c r="EG47" s="30"/>
      <c r="EH47" s="30"/>
      <c r="EI47" s="30"/>
      <c r="EJ47" s="30"/>
      <c r="EK47" s="30"/>
      <c r="EL47" s="30"/>
      <c r="EM47" s="30"/>
      <c r="EN47" s="30"/>
      <c r="EO47" s="30"/>
      <c r="EP47" s="30"/>
      <c r="EQ47" s="30"/>
      <c r="ER47" s="30"/>
      <c r="ES47" s="30"/>
      <c r="ET47" s="30"/>
      <c r="EU47" s="30"/>
      <c r="EV47" s="30"/>
      <c r="EW47" s="30"/>
      <c r="EX47" s="30"/>
      <c r="EY47" s="30"/>
      <c r="EZ47" s="30"/>
      <c r="FA47" s="30"/>
      <c r="FB47" s="30"/>
      <c r="FC47" s="30"/>
      <c r="FD47" s="30"/>
      <c r="FE47" s="30"/>
      <c r="FF47" s="30"/>
      <c r="FG47" s="30"/>
      <c r="FH47" s="30"/>
      <c r="FI47" s="30"/>
      <c r="FJ47" s="30"/>
      <c r="FK47" s="30"/>
      <c r="FL47" s="30"/>
      <c r="FM47" s="30"/>
      <c r="FN47" s="30"/>
      <c r="FO47" s="30"/>
      <c r="FP47" s="30"/>
      <c r="FQ47" s="30"/>
      <c r="FR47" s="30"/>
      <c r="FS47" s="30"/>
      <c r="FT47" s="30"/>
      <c r="FU47" s="30"/>
      <c r="FV47" s="30"/>
      <c r="FW47" s="30"/>
      <c r="FX47" s="30"/>
      <c r="FY47" s="30"/>
      <c r="FZ47" s="30"/>
      <c r="GA47" s="30"/>
      <c r="GB47" s="30"/>
      <c r="GC47" s="30"/>
      <c r="GD47" s="30"/>
      <c r="GE47" s="30"/>
      <c r="GF47" s="30"/>
      <c r="GG47" s="30"/>
      <c r="GH47" s="30"/>
      <c r="GI47" s="30"/>
      <c r="GJ47" s="30"/>
      <c r="GK47" s="30"/>
      <c r="GL47" s="30"/>
      <c r="GM47" s="30"/>
      <c r="GN47" s="30"/>
      <c r="GO47" s="30"/>
      <c r="GP47" s="30"/>
    </row>
    <row r="48" spans="2:198" x14ac:dyDescent="0.25">
      <c r="B48" s="34"/>
      <c r="C48" s="35"/>
      <c r="D48" s="32"/>
      <c r="E48" s="32"/>
      <c r="F48" s="35"/>
      <c r="G48" s="32"/>
      <c r="H48" s="32"/>
      <c r="I48" s="35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3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  <c r="AN48" s="30"/>
      <c r="AO48" s="30"/>
      <c r="AP48" s="30"/>
      <c r="AQ48" s="30"/>
      <c r="AR48" s="30"/>
      <c r="AS48" s="30"/>
      <c r="AT48" s="30"/>
      <c r="AU48" s="30"/>
      <c r="AV48" s="30"/>
      <c r="AW48" s="30"/>
      <c r="AX48" s="30"/>
      <c r="AY48" s="30"/>
      <c r="AZ48" s="30"/>
      <c r="BA48" s="30"/>
      <c r="BB48" s="30"/>
      <c r="BC48" s="30"/>
      <c r="BD48" s="30"/>
      <c r="BE48" s="30"/>
      <c r="BF48" s="30"/>
      <c r="BG48" s="30"/>
      <c r="BH48" s="30"/>
      <c r="BI48" s="30"/>
      <c r="BJ48" s="30"/>
      <c r="BK48" s="30"/>
      <c r="BL48" s="30"/>
      <c r="BM48" s="30"/>
      <c r="BN48" s="30"/>
      <c r="BO48" s="30"/>
      <c r="BP48" s="30"/>
      <c r="BQ48" s="30"/>
      <c r="BR48" s="30"/>
      <c r="BS48" s="30"/>
      <c r="BT48" s="30"/>
      <c r="BU48" s="30"/>
      <c r="BV48" s="30"/>
      <c r="BW48" s="30"/>
      <c r="BX48" s="30"/>
      <c r="BY48" s="30"/>
      <c r="BZ48" s="30"/>
      <c r="CA48" s="30"/>
      <c r="CB48" s="30"/>
      <c r="CC48" s="30"/>
      <c r="CD48" s="30"/>
      <c r="CE48" s="30"/>
      <c r="CF48" s="30"/>
      <c r="CG48" s="30"/>
      <c r="CH48" s="30"/>
      <c r="CI48" s="30"/>
      <c r="CJ48" s="30"/>
      <c r="CK48" s="30"/>
      <c r="CL48" s="30"/>
      <c r="CM48" s="30"/>
      <c r="CN48" s="30"/>
      <c r="CO48" s="30"/>
      <c r="CP48" s="30"/>
      <c r="CQ48" s="30"/>
      <c r="CR48" s="30"/>
      <c r="CS48" s="30"/>
      <c r="CT48" s="30"/>
      <c r="CU48" s="30"/>
      <c r="CV48" s="30"/>
      <c r="CW48" s="30"/>
      <c r="CX48" s="30"/>
      <c r="CY48" s="30"/>
      <c r="CZ48" s="30"/>
      <c r="DA48" s="30"/>
      <c r="DB48" s="30"/>
      <c r="DC48" s="30"/>
      <c r="DD48" s="30"/>
      <c r="DE48" s="30"/>
      <c r="DF48" s="30"/>
      <c r="DG48" s="30"/>
      <c r="DH48" s="30"/>
      <c r="DI48" s="30"/>
      <c r="DJ48" s="30"/>
      <c r="DK48" s="30"/>
      <c r="DL48" s="30"/>
      <c r="DM48" s="30"/>
      <c r="DN48" s="30"/>
      <c r="DO48" s="30"/>
      <c r="DP48" s="30"/>
      <c r="DQ48" s="30"/>
      <c r="DR48" s="30"/>
      <c r="DS48" s="30"/>
      <c r="DT48" s="30"/>
      <c r="DU48" s="30"/>
      <c r="DV48" s="30"/>
      <c r="DW48" s="30"/>
      <c r="DX48" s="30"/>
      <c r="DY48" s="30"/>
      <c r="DZ48" s="30"/>
      <c r="EA48" s="30"/>
      <c r="EB48" s="30"/>
      <c r="EC48" s="30"/>
      <c r="ED48" s="30"/>
      <c r="EE48" s="30"/>
      <c r="EF48" s="30"/>
      <c r="EG48" s="30"/>
      <c r="EH48" s="30"/>
      <c r="EI48" s="30"/>
      <c r="EJ48" s="30"/>
      <c r="EK48" s="30"/>
      <c r="EL48" s="30"/>
      <c r="EM48" s="30"/>
      <c r="EN48" s="30"/>
      <c r="EO48" s="30"/>
      <c r="EP48" s="30"/>
      <c r="EQ48" s="30"/>
      <c r="ER48" s="30"/>
      <c r="ES48" s="30"/>
      <c r="ET48" s="30"/>
      <c r="EU48" s="30"/>
      <c r="EV48" s="30"/>
      <c r="EW48" s="30"/>
      <c r="EX48" s="30"/>
      <c r="EY48" s="30"/>
      <c r="EZ48" s="30"/>
      <c r="FA48" s="30"/>
      <c r="FB48" s="30"/>
      <c r="FC48" s="30"/>
      <c r="FD48" s="30"/>
      <c r="FE48" s="30"/>
      <c r="FF48" s="30"/>
      <c r="FG48" s="30"/>
      <c r="FH48" s="30"/>
      <c r="FI48" s="30"/>
      <c r="FJ48" s="30"/>
      <c r="FK48" s="30"/>
      <c r="FL48" s="30"/>
      <c r="FM48" s="30"/>
      <c r="FN48" s="30"/>
      <c r="FO48" s="30"/>
      <c r="FP48" s="30"/>
      <c r="FQ48" s="30"/>
      <c r="FR48" s="30"/>
      <c r="FS48" s="30"/>
      <c r="FT48" s="30"/>
      <c r="FU48" s="30"/>
      <c r="FV48" s="30"/>
      <c r="FW48" s="30"/>
      <c r="FX48" s="30"/>
      <c r="FY48" s="30"/>
      <c r="FZ48" s="30"/>
      <c r="GA48" s="30"/>
      <c r="GB48" s="30"/>
      <c r="GC48" s="30"/>
      <c r="GD48" s="30"/>
      <c r="GE48" s="30"/>
      <c r="GF48" s="30"/>
      <c r="GG48" s="30"/>
      <c r="GH48" s="30"/>
      <c r="GI48" s="30"/>
      <c r="GJ48" s="30"/>
      <c r="GK48" s="30"/>
      <c r="GL48" s="30"/>
      <c r="GM48" s="30"/>
      <c r="GN48" s="30"/>
      <c r="GO48" s="30"/>
      <c r="GP48" s="30"/>
    </row>
    <row r="49" spans="2:198" ht="13.8" thickBot="1" x14ac:dyDescent="0.3">
      <c r="B49" s="36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7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  <c r="AM49" s="30"/>
      <c r="AN49" s="30"/>
      <c r="AO49" s="30"/>
      <c r="AP49" s="30"/>
      <c r="AQ49" s="30"/>
      <c r="AR49" s="30"/>
      <c r="AS49" s="30"/>
      <c r="AT49" s="30"/>
      <c r="AU49" s="30"/>
      <c r="AV49" s="30"/>
      <c r="AW49" s="30"/>
      <c r="AX49" s="30"/>
      <c r="AY49" s="30"/>
      <c r="AZ49" s="30"/>
      <c r="BA49" s="30"/>
      <c r="BB49" s="30"/>
      <c r="BC49" s="30"/>
      <c r="BD49" s="30"/>
      <c r="BE49" s="30"/>
      <c r="BF49" s="30"/>
      <c r="BG49" s="30"/>
      <c r="BH49" s="30"/>
      <c r="BI49" s="30"/>
      <c r="BJ49" s="30"/>
      <c r="BK49" s="30"/>
      <c r="BL49" s="30"/>
      <c r="BM49" s="30"/>
      <c r="BN49" s="30"/>
      <c r="BO49" s="30"/>
      <c r="BP49" s="30"/>
      <c r="BQ49" s="30"/>
      <c r="BR49" s="30"/>
      <c r="BS49" s="30"/>
      <c r="BT49" s="30"/>
      <c r="BU49" s="30"/>
      <c r="BV49" s="30"/>
      <c r="BW49" s="30"/>
      <c r="BX49" s="30"/>
      <c r="BY49" s="30"/>
      <c r="BZ49" s="30"/>
      <c r="CA49" s="30"/>
      <c r="CB49" s="30"/>
      <c r="CC49" s="30"/>
      <c r="CD49" s="30"/>
      <c r="CE49" s="30"/>
      <c r="CF49" s="30"/>
      <c r="CG49" s="30"/>
      <c r="CH49" s="30"/>
      <c r="CI49" s="30"/>
      <c r="CJ49" s="30"/>
      <c r="CK49" s="30"/>
      <c r="CL49" s="30"/>
      <c r="CM49" s="30"/>
      <c r="CN49" s="30"/>
      <c r="CO49" s="30"/>
      <c r="CP49" s="30"/>
      <c r="CQ49" s="30"/>
      <c r="CR49" s="30"/>
      <c r="CS49" s="30"/>
      <c r="CT49" s="30"/>
      <c r="CU49" s="30"/>
      <c r="CV49" s="30"/>
      <c r="CW49" s="30"/>
      <c r="CX49" s="30"/>
      <c r="CY49" s="30"/>
      <c r="CZ49" s="30"/>
      <c r="DA49" s="30"/>
      <c r="DB49" s="30"/>
      <c r="DC49" s="30"/>
      <c r="DD49" s="30"/>
      <c r="DE49" s="30"/>
      <c r="DF49" s="30"/>
      <c r="DG49" s="30"/>
      <c r="DH49" s="30"/>
      <c r="DI49" s="30"/>
      <c r="DJ49" s="30"/>
      <c r="DK49" s="30"/>
      <c r="DL49" s="30"/>
      <c r="DM49" s="30"/>
      <c r="DN49" s="30"/>
      <c r="DO49" s="30"/>
      <c r="DP49" s="30"/>
      <c r="DQ49" s="30"/>
      <c r="DR49" s="30"/>
      <c r="DS49" s="30"/>
      <c r="DT49" s="30"/>
      <c r="DU49" s="30"/>
      <c r="DV49" s="30"/>
      <c r="DW49" s="30"/>
      <c r="DX49" s="30"/>
      <c r="DY49" s="30"/>
      <c r="DZ49" s="30"/>
      <c r="EA49" s="30"/>
      <c r="EB49" s="30"/>
      <c r="EC49" s="30"/>
      <c r="ED49" s="30"/>
      <c r="EE49" s="30"/>
      <c r="EF49" s="30"/>
      <c r="EG49" s="30"/>
      <c r="EH49" s="30"/>
      <c r="EI49" s="30"/>
      <c r="EJ49" s="30"/>
      <c r="EK49" s="30"/>
      <c r="EL49" s="30"/>
      <c r="EM49" s="30"/>
      <c r="EN49" s="30"/>
      <c r="EO49" s="30"/>
      <c r="EP49" s="30"/>
      <c r="EQ49" s="30"/>
      <c r="ER49" s="30"/>
      <c r="ES49" s="30"/>
      <c r="ET49" s="30"/>
      <c r="EU49" s="30"/>
      <c r="EV49" s="30"/>
      <c r="EW49" s="30"/>
      <c r="EX49" s="30"/>
      <c r="EY49" s="30"/>
      <c r="EZ49" s="30"/>
      <c r="FA49" s="30"/>
      <c r="FB49" s="30"/>
      <c r="FC49" s="30"/>
      <c r="FD49" s="30"/>
      <c r="FE49" s="30"/>
      <c r="FF49" s="30"/>
      <c r="FG49" s="30"/>
      <c r="FH49" s="30"/>
      <c r="FI49" s="30"/>
      <c r="FJ49" s="30"/>
      <c r="FK49" s="30"/>
      <c r="FL49" s="30"/>
      <c r="FM49" s="30"/>
      <c r="FN49" s="30"/>
      <c r="FO49" s="30"/>
      <c r="FP49" s="30"/>
      <c r="FQ49" s="30"/>
      <c r="FR49" s="30"/>
      <c r="FS49" s="30"/>
      <c r="FT49" s="30"/>
      <c r="FU49" s="30"/>
      <c r="FV49" s="30"/>
      <c r="FW49" s="30"/>
      <c r="FX49" s="30"/>
      <c r="FY49" s="30"/>
      <c r="FZ49" s="30"/>
      <c r="GA49" s="30"/>
      <c r="GB49" s="30"/>
      <c r="GC49" s="30"/>
      <c r="GD49" s="30"/>
      <c r="GE49" s="30"/>
      <c r="GF49" s="30"/>
      <c r="GG49" s="30"/>
      <c r="GH49" s="30"/>
      <c r="GI49" s="30"/>
      <c r="GJ49" s="30"/>
      <c r="GK49" s="30"/>
      <c r="GL49" s="30"/>
      <c r="GM49" s="30"/>
      <c r="GN49" s="30"/>
      <c r="GO49" s="30"/>
      <c r="GP49" s="30"/>
    </row>
    <row r="50" spans="2:198" s="30" customFormat="1" x14ac:dyDescent="0.25"/>
    <row r="51" spans="2:198" s="30" customFormat="1" x14ac:dyDescent="0.25"/>
    <row r="52" spans="2:198" s="30" customFormat="1" x14ac:dyDescent="0.25"/>
    <row r="53" spans="2:198" s="30" customFormat="1" x14ac:dyDescent="0.25"/>
    <row r="54" spans="2:198" s="30" customFormat="1" x14ac:dyDescent="0.25"/>
    <row r="55" spans="2:198" s="30" customFormat="1" x14ac:dyDescent="0.25"/>
    <row r="56" spans="2:198" s="30" customFormat="1" x14ac:dyDescent="0.25"/>
    <row r="57" spans="2:198" s="30" customFormat="1" x14ac:dyDescent="0.25"/>
    <row r="58" spans="2:198" s="30" customFormat="1" x14ac:dyDescent="0.25"/>
    <row r="59" spans="2:198" s="30" customFormat="1" x14ac:dyDescent="0.25"/>
    <row r="60" spans="2:198" s="30" customFormat="1" x14ac:dyDescent="0.25"/>
    <row r="61" spans="2:198" s="30" customFormat="1" x14ac:dyDescent="0.25"/>
    <row r="62" spans="2:198" s="30" customFormat="1" x14ac:dyDescent="0.25"/>
    <row r="63" spans="2:198" s="30" customFormat="1" x14ac:dyDescent="0.25"/>
    <row r="64" spans="2:198" s="30" customFormat="1" x14ac:dyDescent="0.25"/>
    <row r="65" s="30" customFormat="1" x14ac:dyDescent="0.25"/>
    <row r="66" s="30" customFormat="1" x14ac:dyDescent="0.25"/>
    <row r="67" s="30" customFormat="1" x14ac:dyDescent="0.25"/>
    <row r="68" s="30" customFormat="1" x14ac:dyDescent="0.25"/>
    <row r="69" s="30" customFormat="1" x14ac:dyDescent="0.25"/>
    <row r="70" s="30" customFormat="1" x14ac:dyDescent="0.25"/>
    <row r="71" s="30" customFormat="1" x14ac:dyDescent="0.25"/>
    <row r="72" s="30" customFormat="1" x14ac:dyDescent="0.25"/>
    <row r="73" s="30" customFormat="1" x14ac:dyDescent="0.25"/>
    <row r="74" s="30" customFormat="1" x14ac:dyDescent="0.25"/>
    <row r="75" s="30" customFormat="1" x14ac:dyDescent="0.25"/>
    <row r="76" s="30" customFormat="1" x14ac:dyDescent="0.25"/>
    <row r="77" s="30" customFormat="1" x14ac:dyDescent="0.25"/>
    <row r="78" s="30" customFormat="1" x14ac:dyDescent="0.25"/>
    <row r="79" s="30" customFormat="1" x14ac:dyDescent="0.25"/>
    <row r="80" s="30" customFormat="1" x14ac:dyDescent="0.25"/>
    <row r="81" s="30" customFormat="1" x14ac:dyDescent="0.25"/>
    <row r="82" s="30" customFormat="1" x14ac:dyDescent="0.25"/>
    <row r="83" s="30" customFormat="1" x14ac:dyDescent="0.25"/>
    <row r="84" s="30" customFormat="1" x14ac:dyDescent="0.25"/>
    <row r="85" s="30" customFormat="1" x14ac:dyDescent="0.25"/>
    <row r="86" s="30" customFormat="1" x14ac:dyDescent="0.25"/>
    <row r="87" s="30" customFormat="1" x14ac:dyDescent="0.25"/>
    <row r="88" s="30" customFormat="1" x14ac:dyDescent="0.25"/>
    <row r="89" s="30" customFormat="1" x14ac:dyDescent="0.25"/>
    <row r="90" s="30" customFormat="1" x14ac:dyDescent="0.25"/>
    <row r="91" s="30" customFormat="1" x14ac:dyDescent="0.25"/>
    <row r="92" s="30" customFormat="1" x14ac:dyDescent="0.25"/>
    <row r="93" s="30" customFormat="1" x14ac:dyDescent="0.25"/>
    <row r="94" s="30" customFormat="1" x14ac:dyDescent="0.25"/>
    <row r="95" s="30" customFormat="1" x14ac:dyDescent="0.25"/>
    <row r="96" s="30" customFormat="1" x14ac:dyDescent="0.25"/>
    <row r="97" s="30" customFormat="1" x14ac:dyDescent="0.25"/>
    <row r="98" s="30" customFormat="1" x14ac:dyDescent="0.25"/>
    <row r="99" s="30" customFormat="1" x14ac:dyDescent="0.25"/>
    <row r="100" s="30" customFormat="1" x14ac:dyDescent="0.25"/>
    <row r="101" s="30" customFormat="1" x14ac:dyDescent="0.25"/>
    <row r="102" s="30" customFormat="1" x14ac:dyDescent="0.25"/>
    <row r="103" s="30" customFormat="1" x14ac:dyDescent="0.25"/>
    <row r="104" s="30" customFormat="1" x14ac:dyDescent="0.25"/>
    <row r="105" s="30" customFormat="1" x14ac:dyDescent="0.25"/>
    <row r="106" s="30" customFormat="1" x14ac:dyDescent="0.25"/>
    <row r="107" s="30" customFormat="1" x14ac:dyDescent="0.25"/>
    <row r="108" s="30" customFormat="1" x14ac:dyDescent="0.25"/>
    <row r="109" s="30" customFormat="1" x14ac:dyDescent="0.25"/>
    <row r="110" s="30" customFormat="1" x14ac:dyDescent="0.25"/>
    <row r="111" s="30" customFormat="1" x14ac:dyDescent="0.25"/>
    <row r="112" s="30" customFormat="1" x14ac:dyDescent="0.25"/>
    <row r="113" s="30" customFormat="1" x14ac:dyDescent="0.25"/>
    <row r="114" s="30" customFormat="1" x14ac:dyDescent="0.25"/>
    <row r="115" s="30" customFormat="1" x14ac:dyDescent="0.25"/>
    <row r="116" s="30" customFormat="1" x14ac:dyDescent="0.25"/>
    <row r="117" s="30" customFormat="1" x14ac:dyDescent="0.25"/>
    <row r="118" s="30" customFormat="1" x14ac:dyDescent="0.25"/>
    <row r="119" s="30" customFormat="1" x14ac:dyDescent="0.25"/>
    <row r="120" s="30" customFormat="1" x14ac:dyDescent="0.25"/>
    <row r="121" s="30" customFormat="1" x14ac:dyDescent="0.25"/>
    <row r="122" s="30" customFormat="1" x14ac:dyDescent="0.25"/>
    <row r="123" s="30" customFormat="1" x14ac:dyDescent="0.25"/>
    <row r="124" s="30" customFormat="1" x14ac:dyDescent="0.25"/>
    <row r="125" s="30" customFormat="1" x14ac:dyDescent="0.25"/>
    <row r="126" s="30" customFormat="1" x14ac:dyDescent="0.25"/>
    <row r="127" s="30" customFormat="1" x14ac:dyDescent="0.25"/>
    <row r="128" s="30" customFormat="1" x14ac:dyDescent="0.25"/>
    <row r="129" s="30" customFormat="1" x14ac:dyDescent="0.25"/>
    <row r="130" s="30" customFormat="1" x14ac:dyDescent="0.25"/>
    <row r="131" s="30" customFormat="1" x14ac:dyDescent="0.25"/>
    <row r="132" s="30" customFormat="1" x14ac:dyDescent="0.25"/>
    <row r="133" s="30" customFormat="1" x14ac:dyDescent="0.25"/>
    <row r="134" s="30" customFormat="1" x14ac:dyDescent="0.25"/>
    <row r="135" s="30" customFormat="1" x14ac:dyDescent="0.25"/>
    <row r="136" s="30" customFormat="1" x14ac:dyDescent="0.25"/>
    <row r="137" s="30" customFormat="1" x14ac:dyDescent="0.25"/>
    <row r="138" s="30" customFormat="1" x14ac:dyDescent="0.25"/>
    <row r="139" s="30" customFormat="1" x14ac:dyDescent="0.25"/>
    <row r="140" s="30" customFormat="1" x14ac:dyDescent="0.25"/>
    <row r="141" s="30" customFormat="1" x14ac:dyDescent="0.25"/>
    <row r="142" s="30" customFormat="1" x14ac:dyDescent="0.25"/>
    <row r="143" s="30" customFormat="1" x14ac:dyDescent="0.25"/>
    <row r="144" s="30" customFormat="1" x14ac:dyDescent="0.25"/>
    <row r="145" s="30" customFormat="1" x14ac:dyDescent="0.25"/>
    <row r="146" s="30" customFormat="1" x14ac:dyDescent="0.25"/>
    <row r="147" s="30" customFormat="1" x14ac:dyDescent="0.25"/>
    <row r="148" s="30" customFormat="1" x14ac:dyDescent="0.25"/>
    <row r="149" s="30" customFormat="1" x14ac:dyDescent="0.25"/>
    <row r="150" s="30" customFormat="1" x14ac:dyDescent="0.25"/>
    <row r="151" s="30" customFormat="1" x14ac:dyDescent="0.25"/>
    <row r="152" s="30" customFormat="1" x14ac:dyDescent="0.25"/>
    <row r="153" s="30" customFormat="1" x14ac:dyDescent="0.25"/>
    <row r="154" s="30" customFormat="1" x14ac:dyDescent="0.25"/>
    <row r="155" s="30" customFormat="1" x14ac:dyDescent="0.25"/>
    <row r="156" s="30" customFormat="1" x14ac:dyDescent="0.25"/>
    <row r="157" s="30" customFormat="1" x14ac:dyDescent="0.25"/>
    <row r="158" s="30" customFormat="1" x14ac:dyDescent="0.25"/>
    <row r="159" s="30" customFormat="1" x14ac:dyDescent="0.25"/>
    <row r="160" s="30" customFormat="1" x14ac:dyDescent="0.25"/>
    <row r="161" s="30" customFormat="1" x14ac:dyDescent="0.25"/>
    <row r="162" s="30" customFormat="1" x14ac:dyDescent="0.25"/>
    <row r="163" s="30" customFormat="1" x14ac:dyDescent="0.25"/>
    <row r="164" s="30" customFormat="1" x14ac:dyDescent="0.25"/>
    <row r="165" s="30" customFormat="1" x14ac:dyDescent="0.25"/>
    <row r="166" s="30" customFormat="1" x14ac:dyDescent="0.25"/>
    <row r="167" s="30" customFormat="1" x14ac:dyDescent="0.25"/>
    <row r="168" s="30" customFormat="1" x14ac:dyDescent="0.25"/>
    <row r="169" s="30" customFormat="1" x14ac:dyDescent="0.25"/>
    <row r="170" s="30" customFormat="1" x14ac:dyDescent="0.25"/>
    <row r="171" s="30" customFormat="1" x14ac:dyDescent="0.25"/>
    <row r="172" s="30" customFormat="1" x14ac:dyDescent="0.25"/>
    <row r="173" s="30" customFormat="1" x14ac:dyDescent="0.25"/>
    <row r="174" s="30" customFormat="1" x14ac:dyDescent="0.25"/>
    <row r="175" s="30" customFormat="1" x14ac:dyDescent="0.25"/>
    <row r="176" s="30" customFormat="1" x14ac:dyDescent="0.25"/>
    <row r="177" s="30" customFormat="1" x14ac:dyDescent="0.25"/>
    <row r="178" s="30" customFormat="1" x14ac:dyDescent="0.25"/>
    <row r="179" s="30" customFormat="1" x14ac:dyDescent="0.25"/>
    <row r="180" s="30" customFormat="1" x14ac:dyDescent="0.25"/>
    <row r="181" s="30" customFormat="1" x14ac:dyDescent="0.25"/>
    <row r="182" s="30" customFormat="1" x14ac:dyDescent="0.25"/>
    <row r="183" s="30" customFormat="1" x14ac:dyDescent="0.25"/>
    <row r="184" s="30" customFormat="1" x14ac:dyDescent="0.25"/>
    <row r="185" s="30" customFormat="1" x14ac:dyDescent="0.25"/>
    <row r="186" s="30" customFormat="1" x14ac:dyDescent="0.25"/>
    <row r="187" s="30" customFormat="1" x14ac:dyDescent="0.25"/>
    <row r="188" s="30" customFormat="1" x14ac:dyDescent="0.25"/>
    <row r="189" s="30" customFormat="1" x14ac:dyDescent="0.25"/>
    <row r="190" s="30" customFormat="1" x14ac:dyDescent="0.25"/>
    <row r="191" s="30" customFormat="1" x14ac:dyDescent="0.25"/>
    <row r="192" s="30" customFormat="1" x14ac:dyDescent="0.25"/>
    <row r="193" s="30" customFormat="1" x14ac:dyDescent="0.25"/>
    <row r="194" s="30" customFormat="1" x14ac:dyDescent="0.25"/>
    <row r="195" s="30" customFormat="1" x14ac:dyDescent="0.25"/>
    <row r="196" s="30" customFormat="1" x14ac:dyDescent="0.25"/>
    <row r="197" s="30" customFormat="1" x14ac:dyDescent="0.25"/>
    <row r="198" s="30" customFormat="1" x14ac:dyDescent="0.25"/>
    <row r="199" s="30" customFormat="1" x14ac:dyDescent="0.25"/>
    <row r="200" s="30" customFormat="1" x14ac:dyDescent="0.25"/>
    <row r="201" s="30" customFormat="1" x14ac:dyDescent="0.25"/>
    <row r="202" s="30" customFormat="1" x14ac:dyDescent="0.25"/>
    <row r="203" s="30" customFormat="1" x14ac:dyDescent="0.25"/>
    <row r="204" s="30" customFormat="1" x14ac:dyDescent="0.25"/>
    <row r="205" s="30" customFormat="1" x14ac:dyDescent="0.25"/>
    <row r="206" s="30" customFormat="1" x14ac:dyDescent="0.25"/>
    <row r="207" s="30" customFormat="1" x14ac:dyDescent="0.25"/>
    <row r="208" s="30" customFormat="1" x14ac:dyDescent="0.25"/>
    <row r="209" s="30" customFormat="1" x14ac:dyDescent="0.25"/>
    <row r="210" s="30" customFormat="1" x14ac:dyDescent="0.25"/>
    <row r="211" s="30" customFormat="1" x14ac:dyDescent="0.25"/>
    <row r="212" s="30" customFormat="1" x14ac:dyDescent="0.25"/>
    <row r="213" s="30" customFormat="1" x14ac:dyDescent="0.25"/>
    <row r="214" s="30" customFormat="1" x14ac:dyDescent="0.25"/>
    <row r="215" s="30" customFormat="1" x14ac:dyDescent="0.25"/>
    <row r="216" s="30" customFormat="1" x14ac:dyDescent="0.25"/>
    <row r="217" s="30" customFormat="1" x14ac:dyDescent="0.25"/>
    <row r="218" s="30" customFormat="1" x14ac:dyDescent="0.25"/>
    <row r="219" s="30" customFormat="1" x14ac:dyDescent="0.25"/>
    <row r="220" s="30" customFormat="1" x14ac:dyDescent="0.25"/>
    <row r="221" s="30" customFormat="1" x14ac:dyDescent="0.25"/>
    <row r="222" s="30" customFormat="1" x14ac:dyDescent="0.25"/>
    <row r="223" s="30" customFormat="1" x14ac:dyDescent="0.25"/>
    <row r="224" s="30" customFormat="1" x14ac:dyDescent="0.25"/>
    <row r="225" s="30" customFormat="1" x14ac:dyDescent="0.25"/>
    <row r="226" s="30" customFormat="1" x14ac:dyDescent="0.25"/>
    <row r="227" s="30" customFormat="1" x14ac:dyDescent="0.25"/>
    <row r="228" s="30" customFormat="1" x14ac:dyDescent="0.25"/>
    <row r="229" s="30" customFormat="1" x14ac:dyDescent="0.25"/>
    <row r="230" s="30" customFormat="1" x14ac:dyDescent="0.25"/>
    <row r="231" s="30" customFormat="1" x14ac:dyDescent="0.25"/>
    <row r="232" s="30" customFormat="1" x14ac:dyDescent="0.25"/>
    <row r="233" s="30" customFormat="1" x14ac:dyDescent="0.25"/>
    <row r="234" s="30" customFormat="1" x14ac:dyDescent="0.25"/>
    <row r="235" s="30" customFormat="1" x14ac:dyDescent="0.25"/>
    <row r="236" s="30" customFormat="1" x14ac:dyDescent="0.25"/>
    <row r="237" s="30" customFormat="1" x14ac:dyDescent="0.25"/>
    <row r="238" s="30" customFormat="1" x14ac:dyDescent="0.25"/>
    <row r="239" s="30" customFormat="1" x14ac:dyDescent="0.25"/>
    <row r="240" s="30" customFormat="1" x14ac:dyDescent="0.25"/>
    <row r="241" s="30" customFormat="1" x14ac:dyDescent="0.25"/>
    <row r="242" s="30" customFormat="1" x14ac:dyDescent="0.25"/>
    <row r="243" s="30" customFormat="1" x14ac:dyDescent="0.25"/>
    <row r="244" s="30" customFormat="1" x14ac:dyDescent="0.25"/>
    <row r="245" s="30" customFormat="1" x14ac:dyDescent="0.25"/>
    <row r="246" s="30" customFormat="1" x14ac:dyDescent="0.25"/>
    <row r="247" s="30" customFormat="1" x14ac:dyDescent="0.25"/>
    <row r="248" s="30" customFormat="1" x14ac:dyDescent="0.25"/>
    <row r="249" s="30" customFormat="1" x14ac:dyDescent="0.25"/>
    <row r="250" s="30" customFormat="1" x14ac:dyDescent="0.25"/>
    <row r="251" s="30" customFormat="1" x14ac:dyDescent="0.25"/>
    <row r="252" s="30" customFormat="1" x14ac:dyDescent="0.25"/>
    <row r="253" s="30" customFormat="1" x14ac:dyDescent="0.25"/>
    <row r="254" s="30" customFormat="1" x14ac:dyDescent="0.25"/>
    <row r="255" s="30" customFormat="1" x14ac:dyDescent="0.25"/>
    <row r="256" s="30" customFormat="1" x14ac:dyDescent="0.25"/>
    <row r="257" s="30" customFormat="1" x14ac:dyDescent="0.25"/>
    <row r="258" s="30" customFormat="1" x14ac:dyDescent="0.25"/>
    <row r="259" s="30" customFormat="1" x14ac:dyDescent="0.25"/>
    <row r="260" s="30" customFormat="1" x14ac:dyDescent="0.25"/>
    <row r="261" s="30" customFormat="1" x14ac:dyDescent="0.25"/>
    <row r="262" s="30" customFormat="1" x14ac:dyDescent="0.25"/>
    <row r="263" s="30" customFormat="1" x14ac:dyDescent="0.25"/>
    <row r="264" s="30" customFormat="1" x14ac:dyDescent="0.25"/>
    <row r="265" s="30" customFormat="1" x14ac:dyDescent="0.25"/>
    <row r="266" s="30" customFormat="1" x14ac:dyDescent="0.25"/>
    <row r="267" s="30" customFormat="1" x14ac:dyDescent="0.25"/>
    <row r="268" s="30" customFormat="1" x14ac:dyDescent="0.25"/>
    <row r="269" s="30" customFormat="1" x14ac:dyDescent="0.25"/>
    <row r="270" s="30" customFormat="1" x14ac:dyDescent="0.25"/>
    <row r="271" s="30" customFormat="1" x14ac:dyDescent="0.25"/>
    <row r="272" s="30" customFormat="1" x14ac:dyDescent="0.25"/>
    <row r="273" s="30" customFormat="1" x14ac:dyDescent="0.25"/>
    <row r="274" s="30" customFormat="1" x14ac:dyDescent="0.25"/>
    <row r="275" s="30" customFormat="1" x14ac:dyDescent="0.25"/>
    <row r="276" s="30" customFormat="1" x14ac:dyDescent="0.25"/>
    <row r="277" s="30" customFormat="1" x14ac:dyDescent="0.25"/>
    <row r="278" s="30" customFormat="1" x14ac:dyDescent="0.25"/>
    <row r="279" s="30" customFormat="1" x14ac:dyDescent="0.25"/>
    <row r="280" s="30" customFormat="1" x14ac:dyDescent="0.25"/>
    <row r="281" s="30" customFormat="1" x14ac:dyDescent="0.25"/>
    <row r="282" s="30" customFormat="1" x14ac:dyDescent="0.25"/>
    <row r="283" s="30" customFormat="1" x14ac:dyDescent="0.25"/>
    <row r="284" s="30" customFormat="1" x14ac:dyDescent="0.25"/>
    <row r="285" s="30" customFormat="1" x14ac:dyDescent="0.25"/>
    <row r="286" s="30" customFormat="1" x14ac:dyDescent="0.25"/>
    <row r="287" s="30" customFormat="1" x14ac:dyDescent="0.25"/>
    <row r="288" s="30" customFormat="1" x14ac:dyDescent="0.25"/>
    <row r="289" s="30" customFormat="1" x14ac:dyDescent="0.25"/>
    <row r="290" s="30" customFormat="1" x14ac:dyDescent="0.25"/>
    <row r="291" s="30" customFormat="1" x14ac:dyDescent="0.25"/>
    <row r="292" s="30" customFormat="1" x14ac:dyDescent="0.25"/>
    <row r="293" s="30" customFormat="1" x14ac:dyDescent="0.25"/>
    <row r="294" s="30" customFormat="1" x14ac:dyDescent="0.25"/>
    <row r="295" s="30" customFormat="1" x14ac:dyDescent="0.25"/>
    <row r="296" s="30" customFormat="1" x14ac:dyDescent="0.25"/>
    <row r="297" s="30" customFormat="1" x14ac:dyDescent="0.25"/>
    <row r="298" s="30" customFormat="1" x14ac:dyDescent="0.25"/>
    <row r="299" s="30" customFormat="1" x14ac:dyDescent="0.25"/>
    <row r="300" s="30" customFormat="1" x14ac:dyDescent="0.25"/>
    <row r="301" s="30" customFormat="1" x14ac:dyDescent="0.25"/>
    <row r="302" s="30" customFormat="1" x14ac:dyDescent="0.25"/>
    <row r="303" s="30" customFormat="1" x14ac:dyDescent="0.25"/>
    <row r="304" s="30" customFormat="1" x14ac:dyDescent="0.25"/>
    <row r="305" s="30" customFormat="1" x14ac:dyDescent="0.25"/>
    <row r="306" s="30" customFormat="1" x14ac:dyDescent="0.25"/>
    <row r="307" s="30" customFormat="1" x14ac:dyDescent="0.25"/>
    <row r="308" s="30" customFormat="1" x14ac:dyDescent="0.25"/>
    <row r="309" s="30" customFormat="1" x14ac:dyDescent="0.25"/>
    <row r="310" s="30" customFormat="1" x14ac:dyDescent="0.25"/>
    <row r="311" s="30" customFormat="1" x14ac:dyDescent="0.25"/>
    <row r="312" s="30" customFormat="1" x14ac:dyDescent="0.25"/>
    <row r="313" s="30" customFormat="1" x14ac:dyDescent="0.25"/>
    <row r="314" s="30" customFormat="1" x14ac:dyDescent="0.25"/>
    <row r="315" s="30" customFormat="1" x14ac:dyDescent="0.25"/>
    <row r="316" s="30" customFormat="1" x14ac:dyDescent="0.25"/>
    <row r="317" s="30" customFormat="1" x14ac:dyDescent="0.25"/>
    <row r="318" s="30" customFormat="1" x14ac:dyDescent="0.25"/>
    <row r="319" s="30" customFormat="1" x14ac:dyDescent="0.25"/>
    <row r="320" s="30" customFormat="1" x14ac:dyDescent="0.25"/>
    <row r="321" s="30" customFormat="1" x14ac:dyDescent="0.25"/>
    <row r="322" s="30" customFormat="1" x14ac:dyDescent="0.25"/>
    <row r="323" s="30" customFormat="1" x14ac:dyDescent="0.25"/>
    <row r="324" s="30" customFormat="1" x14ac:dyDescent="0.25"/>
    <row r="325" s="30" customFormat="1" x14ac:dyDescent="0.25"/>
    <row r="326" s="30" customFormat="1" x14ac:dyDescent="0.25"/>
    <row r="327" s="30" customFormat="1" x14ac:dyDescent="0.25"/>
    <row r="328" s="30" customFormat="1" x14ac:dyDescent="0.25"/>
    <row r="329" s="30" customFormat="1" x14ac:dyDescent="0.25"/>
    <row r="330" s="30" customFormat="1" x14ac:dyDescent="0.25"/>
    <row r="331" s="30" customFormat="1" x14ac:dyDescent="0.25"/>
    <row r="332" s="30" customFormat="1" x14ac:dyDescent="0.25"/>
    <row r="333" s="30" customFormat="1" x14ac:dyDescent="0.25"/>
    <row r="334" s="30" customFormat="1" x14ac:dyDescent="0.25"/>
    <row r="335" s="30" customFormat="1" x14ac:dyDescent="0.25"/>
    <row r="336" s="30" customFormat="1" x14ac:dyDescent="0.25"/>
    <row r="337" s="30" customFormat="1" x14ac:dyDescent="0.25"/>
    <row r="338" s="30" customFormat="1" x14ac:dyDescent="0.25"/>
    <row r="339" s="30" customFormat="1" x14ac:dyDescent="0.25"/>
    <row r="340" s="30" customFormat="1" x14ac:dyDescent="0.25"/>
    <row r="341" s="30" customFormat="1" x14ac:dyDescent="0.25"/>
    <row r="342" s="30" customFormat="1" x14ac:dyDescent="0.25"/>
    <row r="343" s="30" customFormat="1" x14ac:dyDescent="0.25"/>
    <row r="344" s="30" customFormat="1" x14ac:dyDescent="0.25"/>
    <row r="345" s="30" customFormat="1" x14ac:dyDescent="0.25"/>
    <row r="346" s="30" customFormat="1" x14ac:dyDescent="0.25"/>
    <row r="347" s="30" customFormat="1" x14ac:dyDescent="0.25"/>
    <row r="348" s="30" customFormat="1" x14ac:dyDescent="0.25"/>
    <row r="349" s="30" customFormat="1" x14ac:dyDescent="0.25"/>
    <row r="350" s="30" customFormat="1" x14ac:dyDescent="0.25"/>
    <row r="351" s="30" customFormat="1" x14ac:dyDescent="0.25"/>
    <row r="352" s="30" customFormat="1" x14ac:dyDescent="0.25"/>
    <row r="353" s="30" customFormat="1" x14ac:dyDescent="0.25"/>
    <row r="354" s="30" customFormat="1" x14ac:dyDescent="0.25"/>
    <row r="355" s="30" customFormat="1" x14ac:dyDescent="0.25"/>
    <row r="356" s="30" customFormat="1" x14ac:dyDescent="0.25"/>
    <row r="357" s="30" customFormat="1" x14ac:dyDescent="0.25"/>
    <row r="358" s="30" customFormat="1" x14ac:dyDescent="0.25"/>
    <row r="359" s="30" customFormat="1" x14ac:dyDescent="0.25"/>
    <row r="360" s="30" customFormat="1" x14ac:dyDescent="0.25"/>
    <row r="361" s="30" customFormat="1" x14ac:dyDescent="0.25"/>
    <row r="362" s="30" customFormat="1" x14ac:dyDescent="0.25"/>
    <row r="363" s="30" customFormat="1" x14ac:dyDescent="0.25"/>
    <row r="364" s="30" customFormat="1" x14ac:dyDescent="0.25"/>
    <row r="365" s="30" customFormat="1" x14ac:dyDescent="0.25"/>
    <row r="366" s="30" customFormat="1" x14ac:dyDescent="0.25"/>
    <row r="367" s="30" customFormat="1" x14ac:dyDescent="0.25"/>
    <row r="368" s="30" customFormat="1" x14ac:dyDescent="0.25"/>
    <row r="369" s="30" customFormat="1" x14ac:dyDescent="0.25"/>
    <row r="370" s="30" customFormat="1" x14ac:dyDescent="0.25"/>
    <row r="371" s="30" customFormat="1" x14ac:dyDescent="0.25"/>
    <row r="372" s="30" customFormat="1" x14ac:dyDescent="0.25"/>
    <row r="373" s="30" customFormat="1" x14ac:dyDescent="0.25"/>
    <row r="374" s="30" customFormat="1" x14ac:dyDescent="0.25"/>
    <row r="375" s="30" customFormat="1" x14ac:dyDescent="0.25"/>
    <row r="376" s="30" customFormat="1" x14ac:dyDescent="0.25"/>
    <row r="377" s="30" customFormat="1" x14ac:dyDescent="0.25"/>
    <row r="378" s="30" customFormat="1" x14ac:dyDescent="0.25"/>
    <row r="379" s="30" customFormat="1" x14ac:dyDescent="0.25"/>
    <row r="380" s="30" customFormat="1" x14ac:dyDescent="0.25"/>
    <row r="381" s="30" customFormat="1" x14ac:dyDescent="0.25"/>
    <row r="382" s="30" customFormat="1" x14ac:dyDescent="0.25"/>
    <row r="383" s="30" customFormat="1" x14ac:dyDescent="0.25"/>
    <row r="384" s="30" customFormat="1" x14ac:dyDescent="0.25"/>
    <row r="385" s="30" customFormat="1" x14ac:dyDescent="0.25"/>
    <row r="386" s="30" customFormat="1" x14ac:dyDescent="0.25"/>
    <row r="387" s="30" customFormat="1" x14ac:dyDescent="0.25"/>
    <row r="388" s="30" customFormat="1" x14ac:dyDescent="0.25"/>
    <row r="389" s="30" customFormat="1" x14ac:dyDescent="0.25"/>
    <row r="390" s="30" customFormat="1" x14ac:dyDescent="0.25"/>
    <row r="391" s="30" customFormat="1" x14ac:dyDescent="0.25"/>
    <row r="392" s="30" customFormat="1" x14ac:dyDescent="0.25"/>
    <row r="393" s="30" customFormat="1" x14ac:dyDescent="0.25"/>
    <row r="394" s="30" customFormat="1" x14ac:dyDescent="0.25"/>
    <row r="395" s="30" customFormat="1" x14ac:dyDescent="0.25"/>
    <row r="396" s="30" customFormat="1" x14ac:dyDescent="0.25"/>
    <row r="397" s="30" customFormat="1" x14ac:dyDescent="0.25"/>
    <row r="398" s="30" customFormat="1" x14ac:dyDescent="0.25"/>
    <row r="399" s="30" customFormat="1" x14ac:dyDescent="0.25"/>
    <row r="400" s="30" customFormat="1" x14ac:dyDescent="0.25"/>
    <row r="401" s="30" customFormat="1" x14ac:dyDescent="0.25"/>
    <row r="402" s="30" customFormat="1" x14ac:dyDescent="0.25"/>
    <row r="403" s="30" customFormat="1" x14ac:dyDescent="0.25"/>
    <row r="404" s="30" customFormat="1" x14ac:dyDescent="0.25"/>
    <row r="405" s="30" customFormat="1" x14ac:dyDescent="0.25"/>
    <row r="406" s="30" customFormat="1" x14ac:dyDescent="0.25"/>
    <row r="407" s="30" customFormat="1" x14ac:dyDescent="0.25"/>
    <row r="408" s="30" customFormat="1" x14ac:dyDescent="0.25"/>
    <row r="409" s="30" customFormat="1" x14ac:dyDescent="0.25"/>
    <row r="410" s="30" customFormat="1" x14ac:dyDescent="0.25"/>
    <row r="411" s="30" customFormat="1" x14ac:dyDescent="0.25"/>
    <row r="412" s="30" customFormat="1" x14ac:dyDescent="0.25"/>
    <row r="413" s="30" customFormat="1" x14ac:dyDescent="0.25"/>
    <row r="414" s="30" customFormat="1" x14ac:dyDescent="0.25"/>
    <row r="415" s="30" customFormat="1" x14ac:dyDescent="0.25"/>
    <row r="416" s="30" customFormat="1" x14ac:dyDescent="0.25"/>
    <row r="417" s="30" customFormat="1" x14ac:dyDescent="0.25"/>
    <row r="418" s="30" customFormat="1" x14ac:dyDescent="0.25"/>
    <row r="419" s="30" customFormat="1" x14ac:dyDescent="0.25"/>
    <row r="420" s="30" customFormat="1" x14ac:dyDescent="0.25"/>
    <row r="421" s="30" customFormat="1" x14ac:dyDescent="0.25"/>
    <row r="422" s="30" customFormat="1" x14ac:dyDescent="0.25"/>
    <row r="423" s="30" customFormat="1" x14ac:dyDescent="0.25"/>
    <row r="424" s="30" customFormat="1" x14ac:dyDescent="0.25"/>
    <row r="425" s="30" customFormat="1" x14ac:dyDescent="0.25"/>
    <row r="426" s="30" customFormat="1" x14ac:dyDescent="0.25"/>
    <row r="427" s="30" customFormat="1" x14ac:dyDescent="0.25"/>
    <row r="428" s="30" customFormat="1" x14ac:dyDescent="0.25"/>
    <row r="429" s="30" customFormat="1" x14ac:dyDescent="0.25"/>
    <row r="430" s="30" customFormat="1" x14ac:dyDescent="0.25"/>
    <row r="431" s="30" customFormat="1" x14ac:dyDescent="0.25"/>
    <row r="432" s="30" customFormat="1" x14ac:dyDescent="0.25"/>
    <row r="433" s="30" customFormat="1" x14ac:dyDescent="0.25"/>
    <row r="434" s="30" customFormat="1" x14ac:dyDescent="0.25"/>
    <row r="435" s="30" customFormat="1" x14ac:dyDescent="0.25"/>
    <row r="436" s="30" customFormat="1" x14ac:dyDescent="0.25"/>
    <row r="437" s="30" customFormat="1" x14ac:dyDescent="0.25"/>
    <row r="438" s="30" customFormat="1" x14ac:dyDescent="0.25"/>
    <row r="439" s="30" customFormat="1" x14ac:dyDescent="0.25"/>
    <row r="440" s="30" customFormat="1" x14ac:dyDescent="0.25"/>
    <row r="441" s="30" customFormat="1" x14ac:dyDescent="0.25"/>
    <row r="442" s="30" customFormat="1" x14ac:dyDescent="0.25"/>
    <row r="443" s="30" customFormat="1" x14ac:dyDescent="0.25"/>
    <row r="444" s="30" customFormat="1" x14ac:dyDescent="0.25"/>
    <row r="445" s="30" customFormat="1" x14ac:dyDescent="0.25"/>
    <row r="446" s="30" customFormat="1" x14ac:dyDescent="0.25"/>
    <row r="447" s="30" customFormat="1" x14ac:dyDescent="0.25"/>
    <row r="448" s="30" customFormat="1" x14ac:dyDescent="0.25"/>
    <row r="449" s="30" customFormat="1" x14ac:dyDescent="0.25"/>
    <row r="450" s="30" customFormat="1" x14ac:dyDescent="0.25"/>
    <row r="451" s="30" customFormat="1" x14ac:dyDescent="0.25"/>
    <row r="452" s="30" customFormat="1" x14ac:dyDescent="0.25"/>
    <row r="453" s="30" customFormat="1" x14ac:dyDescent="0.25"/>
    <row r="454" s="30" customFormat="1" x14ac:dyDescent="0.25"/>
    <row r="455" s="30" customFormat="1" x14ac:dyDescent="0.25"/>
    <row r="456" s="30" customFormat="1" x14ac:dyDescent="0.25"/>
    <row r="457" s="30" customFormat="1" x14ac:dyDescent="0.25"/>
    <row r="458" s="30" customFormat="1" x14ac:dyDescent="0.25"/>
    <row r="459" s="30" customFormat="1" x14ac:dyDescent="0.25"/>
    <row r="460" s="30" customFormat="1" x14ac:dyDescent="0.25"/>
    <row r="461" s="30" customFormat="1" x14ac:dyDescent="0.25"/>
    <row r="462" s="30" customFormat="1" x14ac:dyDescent="0.25"/>
    <row r="463" s="30" customFormat="1" x14ac:dyDescent="0.25"/>
    <row r="464" s="30" customFormat="1" x14ac:dyDescent="0.25"/>
    <row r="465" s="30" customFormat="1" x14ac:dyDescent="0.25"/>
    <row r="466" s="30" customFormat="1" x14ac:dyDescent="0.25"/>
    <row r="467" s="30" customFormat="1" x14ac:dyDescent="0.25"/>
    <row r="468" s="30" customFormat="1" x14ac:dyDescent="0.25"/>
    <row r="469" s="30" customFormat="1" x14ac:dyDescent="0.25"/>
    <row r="470" s="30" customFormat="1" x14ac:dyDescent="0.25"/>
    <row r="471" s="30" customFormat="1" x14ac:dyDescent="0.25"/>
    <row r="472" s="30" customFormat="1" x14ac:dyDescent="0.25"/>
    <row r="473" s="30" customFormat="1" x14ac:dyDescent="0.25"/>
    <row r="474" s="30" customFormat="1" x14ac:dyDescent="0.25"/>
    <row r="475" s="30" customFormat="1" x14ac:dyDescent="0.25"/>
    <row r="476" s="30" customFormat="1" x14ac:dyDescent="0.25"/>
    <row r="477" s="30" customFormat="1" x14ac:dyDescent="0.25"/>
    <row r="478" s="30" customFormat="1" x14ac:dyDescent="0.25"/>
    <row r="479" s="30" customFormat="1" x14ac:dyDescent="0.25"/>
    <row r="480" s="30" customFormat="1" x14ac:dyDescent="0.25"/>
    <row r="481" s="30" customFormat="1" x14ac:dyDescent="0.25"/>
    <row r="482" s="30" customFormat="1" x14ac:dyDescent="0.25"/>
    <row r="483" s="30" customFormat="1" x14ac:dyDescent="0.25"/>
    <row r="484" s="30" customFormat="1" x14ac:dyDescent="0.25"/>
    <row r="485" s="30" customFormat="1" x14ac:dyDescent="0.25"/>
    <row r="486" s="30" customFormat="1" x14ac:dyDescent="0.25"/>
    <row r="487" s="30" customFormat="1" x14ac:dyDescent="0.25"/>
    <row r="488" s="30" customFormat="1" x14ac:dyDescent="0.25"/>
    <row r="489" s="30" customFormat="1" x14ac:dyDescent="0.25"/>
    <row r="490" s="30" customFormat="1" x14ac:dyDescent="0.25"/>
    <row r="491" s="30" customFormat="1" x14ac:dyDescent="0.25"/>
    <row r="492" s="30" customFormat="1" x14ac:dyDescent="0.25"/>
    <row r="493" s="30" customFormat="1" x14ac:dyDescent="0.25"/>
    <row r="494" s="30" customFormat="1" x14ac:dyDescent="0.25"/>
    <row r="495" s="30" customFormat="1" x14ac:dyDescent="0.25"/>
    <row r="496" s="30" customFormat="1" x14ac:dyDescent="0.25"/>
    <row r="497" s="30" customFormat="1" x14ac:dyDescent="0.25"/>
    <row r="498" s="30" customFormat="1" x14ac:dyDescent="0.25"/>
    <row r="499" s="30" customFormat="1" x14ac:dyDescent="0.25"/>
  </sheetData>
  <sheetProtection password="CC4B" sheet="1" objects="1" scenarios="1"/>
  <mergeCells count="71">
    <mergeCell ref="B2:T4"/>
    <mergeCell ref="B6:B7"/>
    <mergeCell ref="C6:C7"/>
    <mergeCell ref="D6:F6"/>
    <mergeCell ref="G6:G7"/>
    <mergeCell ref="H6:O6"/>
    <mergeCell ref="P6:P7"/>
    <mergeCell ref="Q6:Q7"/>
    <mergeCell ref="R6:R7"/>
    <mergeCell ref="S6:S7"/>
    <mergeCell ref="T6:T7"/>
    <mergeCell ref="H7:I7"/>
    <mergeCell ref="J7:K7"/>
    <mergeCell ref="L7:M7"/>
    <mergeCell ref="N7:O7"/>
    <mergeCell ref="B15:B16"/>
    <mergeCell ref="C15:C16"/>
    <mergeCell ref="D15:F15"/>
    <mergeCell ref="G15:G16"/>
    <mergeCell ref="H15:O15"/>
    <mergeCell ref="H16:I16"/>
    <mergeCell ref="J16:K16"/>
    <mergeCell ref="L16:M16"/>
    <mergeCell ref="N16:O16"/>
    <mergeCell ref="P15:P16"/>
    <mergeCell ref="Q15:Q16"/>
    <mergeCell ref="R15:R16"/>
    <mergeCell ref="S15:S16"/>
    <mergeCell ref="T15:T16"/>
    <mergeCell ref="B24:B25"/>
    <mergeCell ref="C24:C25"/>
    <mergeCell ref="D24:F24"/>
    <mergeCell ref="G24:G25"/>
    <mergeCell ref="H24:O24"/>
    <mergeCell ref="Q24:Q25"/>
    <mergeCell ref="R24:R25"/>
    <mergeCell ref="S24:S25"/>
    <mergeCell ref="T24:T25"/>
    <mergeCell ref="H25:I25"/>
    <mergeCell ref="J25:K25"/>
    <mergeCell ref="L25:M25"/>
    <mergeCell ref="N25:O25"/>
    <mergeCell ref="P24:P25"/>
    <mergeCell ref="B33:B34"/>
    <mergeCell ref="C33:C34"/>
    <mergeCell ref="D33:F33"/>
    <mergeCell ref="G33:G34"/>
    <mergeCell ref="H33:O33"/>
    <mergeCell ref="Q33:Q34"/>
    <mergeCell ref="R33:R34"/>
    <mergeCell ref="S33:S34"/>
    <mergeCell ref="T33:T34"/>
    <mergeCell ref="H34:I34"/>
    <mergeCell ref="J34:K34"/>
    <mergeCell ref="L34:M34"/>
    <mergeCell ref="N34:O34"/>
    <mergeCell ref="P33:P34"/>
    <mergeCell ref="T42:T43"/>
    <mergeCell ref="S42:S43"/>
    <mergeCell ref="R42:R43"/>
    <mergeCell ref="Q42:Q43"/>
    <mergeCell ref="P42:P43"/>
    <mergeCell ref="C42:C43"/>
    <mergeCell ref="B42:B43"/>
    <mergeCell ref="H42:O42"/>
    <mergeCell ref="D42:F42"/>
    <mergeCell ref="N43:O43"/>
    <mergeCell ref="L43:M43"/>
    <mergeCell ref="J43:K43"/>
    <mergeCell ref="H43:I43"/>
    <mergeCell ref="G42:G43"/>
  </mergeCells>
  <pageMargins left="0.7" right="0.7" top="0.75" bottom="0.75" header="0.3" footer="0.3"/>
  <pageSetup orientation="portrait" r:id="rId1"/>
  <ignoredErrors>
    <ignoredError sqref="G8 B8 C17 G17:H17 C26 G26:H26 C44 K8 L8:M8 N8:P8 J17 L17 N17 J26 L26 N26 G35:H35 L35 N35 G44:H44 J44 L44 N44 R8:S8 Q8 I8" unlockedFormula="1"/>
    <ignoredError sqref="I11:J11 K11:M11 I20:K20 L20:N20 I29:J29 K29:N29 N11 I38:J38 L38:N38 K38 L47:N47 J47:K47 I47 Q38 Q20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Control Cambios</vt:lpstr>
      <vt:lpstr>Análisis 2</vt:lpstr>
      <vt:lpstr>Análisis</vt:lpstr>
      <vt:lpstr>Casos de Prueba</vt:lpstr>
      <vt:lpstr>Resultados-Requerimientos</vt:lpstr>
    </vt:vector>
  </TitlesOfParts>
  <Manager/>
  <Company>Personal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Windows</dc:creator>
  <cp:keywords/>
  <dc:description/>
  <cp:lastModifiedBy>David Calle</cp:lastModifiedBy>
  <cp:revision/>
  <dcterms:created xsi:type="dcterms:W3CDTF">2003-08-01T15:56:48Z</dcterms:created>
  <dcterms:modified xsi:type="dcterms:W3CDTF">2025-11-10T22:44:10Z</dcterms:modified>
  <cp:category/>
  <cp:contentStatus/>
</cp:coreProperties>
</file>